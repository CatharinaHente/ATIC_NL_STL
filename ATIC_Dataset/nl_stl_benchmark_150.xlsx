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b8c90dbad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254034849e45d8"/>
    <x:sheet xmlns:r="http://schemas.openxmlformats.org/officeDocument/2006/relationships" name="Dataset" sheetId="2" r:id="R608a151e0bc2418a"/>
    <x:sheet xmlns:r="http://schemas.openxmlformats.org/officeDocument/2006/relationships" name="Codebook" sheetId="3" r:id="R4f217dfebba54b26"/>
    <x:sheet xmlns:r="http://schemas.openxmlformats.org/officeDocument/2006/relationships" name="Sources" sheetId="4" r:id="Rb899e5768f53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b0c05173244a7" /><Relationship Type="http://schemas.openxmlformats.org/officeDocument/2006/relationships/theme" Target="/xl/theme/theme1.xml" Id="R794df4721db845f8" /><Relationship Type="http://schemas.openxmlformats.org/officeDocument/2006/relationships/sharedStrings" Target="/xl/sharedStrings.xml" Id="R2d0acf004011498c" /><Relationship Type="http://schemas.openxmlformats.org/officeDocument/2006/relationships/worksheet" Target="/xl/worksheets/sheet1.xml" Id="Rb1254034849e45d8" /><Relationship Type="http://schemas.openxmlformats.org/officeDocument/2006/relationships/worksheet" Target="/xl/worksheets/sheet2.xml" Id="R608a151e0bc2418a" /><Relationship Type="http://schemas.openxmlformats.org/officeDocument/2006/relationships/worksheet" Target="/xl/worksheets/sheet3.xml" Id="R4f217dfebba54b26" /><Relationship Type="http://schemas.openxmlformats.org/officeDocument/2006/relationships/worksheet" Target="/xl/worksheets/sheet4.xml" Id="Rb899e5768f5344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1d8ee816974d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Benchmark composition by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Expected/Source</c:v>
          </c:tx>
          <c:cat>
            <c:strRef>
              <c:f>'Summary'!$A$10:$A$14</c:f>
              <c:strCache>
                <c:ptCount val="0"/>
              </c:strCache>
            </c:strRef>
          </c:cat>
          <c:val>
            <c:numRef>
              <c:f>'Summary'!$B$10:$B$14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Challenge</c:v>
          </c:tx>
          <c:cat>
            <c:strRef>
              <c:f>'Summary'!$A$10:$A$14</c:f>
              <c:strCache>
                <c:ptCount val="0"/>
              </c:strCache>
            </c:strRef>
          </c:cat>
          <c:val>
            <c:numRef>
              <c:f>'Summary'!$C$10:$C$14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1d8ee816974d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LSTL150Table" displayName="NLSTL150Table" ref="A1:W151" headerRowCount="1">
  <x:tableColumns count="23">
    <x:tableColumn id="1" name="id"/>
    <x:tableColumn id="2" name="group"/>
    <x:tableColumn id="3" name="target_paper"/>
    <x:tableColumn id="4" name="case_type"/>
    <x:tableColumn id="5" name="source_status"/>
    <x:tableColumn id="6" name="source_locator"/>
    <x:tableColumn id="7" name="source_url"/>
    <x:tableColumn id="8" name="domain"/>
    <x:tableColumn id="9" name="task_mode"/>
    <x:tableColumn id="10" name="requirement_nl"/>
    <x:tableColumn id="11" name="gold_stl"/>
    <x:tableColumn id="12" name="alternative_gold_stl"/>
    <x:tableColumn id="13" name="defect_type"/>
    <x:tableColumn id="14" name="clarification_question"/>
    <x:tableColumn id="15" name="oracle_answer"/>
    <x:tableColumn id="16" name="clarified_requirement"/>
    <x:tableColumn id="17" name="gold_after_clarification"/>
    <x:tableColumn id="18" name="limitation_target"/>
    <x:tableColumn id="19" name="difficulty"/>
    <x:tableColumn id="20" name="operators"/>
    <x:tableColumn id="21" name="fragment"/>
    <x:tableColumn id="22" name="signal_context"/>
    <x:tableColumn id="2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ecf0c572704a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4f8a2848cf4f2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0" t="str">
        <x:v>NL–STL Benchmark 150</x:v>
      </x:c>
      <x:c r="B1" s="20"/>
      <x:c r="C1" s="20"/>
      <x:c r="D1" s="20"/>
      <x:c r="E1" s="20"/>
      <x:c r="F1" s="20"/>
      <x:c r="G1" s="20"/>
      <x:c r="H1" s="20"/>
    </x:row>
    <x:row r="3">
      <x:c r="A3" s="30" t="str">
        <x:v>KPI</x:v>
      </x:c>
      <x:c r="B3" s="30" t="str">
        <x:v>Value</x:v>
      </x:c>
      <x:c r="C3" s="31"/>
      <x:c r="D3" s="31"/>
      <x:c r="E3" s="30" t="str">
        <x:v>Task mode</x:v>
      </x:c>
      <x:c r="F3" s="30" t="str">
        <x:v>Count</x:v>
      </x:c>
    </x:row>
    <x:row r="4">
      <x:c r="A4" s="32" t="str">
        <x:v>Total samples</x:v>
      </x:c>
      <x:c r="B4" s="32" t="n">
        <x:f>COUNTA(Dataset!A2:A151)</x:f>
        <x:v>150</x:v>
      </x:c>
      <x:c r="C4" s="31"/>
      <x:c r="D4" s="31"/>
      <x:c r="E4" s="32" t="str">
        <x:v>translate</x:v>
      </x:c>
      <x:c r="F4" s="32" t="n">
        <x:f>COUNTIF(Dataset!I$2:I$151,E4)</x:f>
        <x:v>98</x:v>
      </x:c>
    </x:row>
    <x:row r="5">
      <x:c r="A5" s="32" t="str">
        <x:v>Paper expected-strength</x:v>
      </x:c>
      <x:c r="B5" s="32" t="n">
        <x:f>COUNTIF(Dataset!B2:B151,"paper_supported")</x:f>
        <x:v>20</x:v>
      </x:c>
      <x:c r="C5" s="31"/>
      <x:c r="D5" s="31"/>
      <x:c r="E5" s="32" t="str">
        <x:v>clarify_then_translate</x:v>
      </x:c>
      <x:c r="F5" s="32" t="n">
        <x:f>COUNTIF(Dataset!I$2:I$151,E5)</x:f>
        <x:v>39</x:v>
      </x:c>
    </x:row>
    <x:row r="6">
      <x:c r="A6" s="32" t="str">
        <x:v>Paper limitation probes</x:v>
      </x:c>
      <x:c r="B6" s="32" t="n">
        <x:f>COUNTIF(Dataset!B2:B151,"paper_challenge")</x:f>
        <x:v>100</x:v>
      </x:c>
      <x:c r="C6" s="31"/>
      <x:c r="D6" s="31"/>
      <x:c r="E6" s="32" t="str">
        <x:v>abstain_or_request_context</x:v>
      </x:c>
      <x:c r="F6" s="32" t="n">
        <x:f>COUNTIF(Dataset!I$2:I$151,E6)</x:f>
        <x:v>13</x:v>
      </x:c>
    </x:row>
    <x:row r="7">
      <x:c r="A7" s="32" t="str">
        <x:v>Formula-first robotics</x:v>
      </x:c>
      <x:c r="B7" s="32" t="n">
        <x:f>COUNTIF(Dataset!B2:B151,"robotics_real_world")</x:f>
        <x:v>30</x:v>
      </x:c>
      <x:c r="C7" s="31"/>
      <x:c r="D7" s="31"/>
      <x:c r="E7" s="32" t="str">
        <x:v>Total</x:v>
      </x:c>
      <x:c r="F7" s="32" t="n">
        <x:f>SUM(F4:F6)</x:f>
        <x:v>150</x:v>
      </x:c>
    </x:row>
    <x:row r="8">
      <x:c r="A8" s="31"/>
      <x:c r="B8" s="31"/>
      <x:c r="C8" s="31"/>
      <x:c r="D8" s="31"/>
      <x:c r="E8" s="31"/>
      <x:c r="F8" s="31"/>
    </x:row>
    <x:row r="9">
      <x:c r="A9" s="30" t="str">
        <x:v>Target</x:v>
      </x:c>
      <x:c r="B9" s="30" t="str">
        <x:v>Expected/Source</x:v>
      </x:c>
      <x:c r="C9" s="30" t="str">
        <x:v>Challenge</x:v>
      </x:c>
      <x:c r="D9" s="31"/>
      <x:c r="E9" s="31"/>
      <x:c r="F9" s="31"/>
    </x:row>
    <x:row r="10">
      <x:c r="A10" s="32" t="str">
        <x:v>DeepSTL</x:v>
      </x:c>
      <x:c r="B10" s="32" t="n">
        <x:f>COUNTIFS(Dataset!C$2:C$151,A10,Dataset!B$2:B$151,"paper_supported")</x:f>
        <x:v>5</x:v>
      </x:c>
      <x:c r="C10" s="32" t="n">
        <x:f>COUNTIFS(Dataset!C$2:C$151,A10,Dataset!B$2:B$151,"paper_challenge")</x:f>
        <x:v>25</x:v>
      </x:c>
      <x:c r="D10" s="31"/>
      <x:c r="E10" s="31"/>
      <x:c r="F10" s="31"/>
    </x:row>
    <x:row r="11">
      <x:c r="A11" s="32" t="str">
        <x:v>STL-DivEn/KGST</x:v>
      </x:c>
      <x:c r="B11" s="32" t="n">
        <x:f>COUNTIFS(Dataset!C$2:C$151,A11,Dataset!B$2:B$151,"paper_supported")</x:f>
        <x:v>5</x:v>
      </x:c>
      <x:c r="C11" s="32" t="n">
        <x:f>COUNTIFS(Dataset!C$2:C$151,A11,Dataset!B$2:B$151,"paper_challenge")</x:f>
        <x:v>25</x:v>
      </x:c>
      <x:c r="D11" s="31"/>
      <x:c r="E11" s="31"/>
      <x:c r="F11" s="31"/>
    </x:row>
    <x:row r="12">
      <x:c r="A12" s="32" t="str">
        <x:v>ChatSTL</x:v>
      </x:c>
      <x:c r="B12" s="32" t="n">
        <x:f>COUNTIFS(Dataset!C$2:C$151,A12,Dataset!B$2:B$151,"paper_supported")</x:f>
        <x:v>5</x:v>
      </x:c>
      <x:c r="C12" s="32" t="n">
        <x:f>COUNTIFS(Dataset!C$2:C$151,A12,Dataset!B$2:B$151,"paper_challenge")</x:f>
        <x:v>25</x:v>
      </x:c>
      <x:c r="D12" s="31"/>
      <x:c r="E12" s="31"/>
      <x:c r="F12" s="31"/>
    </x:row>
    <x:row r="13">
      <x:c r="A13" s="32" t="str">
        <x:v>ClarifySTL</x:v>
      </x:c>
      <x:c r="B13" s="32" t="n">
        <x:f>COUNTIFS(Dataset!C$2:C$151,A13,Dataset!B$2:B$151,"paper_supported")</x:f>
        <x:v>5</x:v>
      </x:c>
      <x:c r="C13" s="32" t="n">
        <x:f>COUNTIFS(Dataset!C$2:C$151,A13,Dataset!B$2:B$151,"paper_challenge")</x:f>
        <x:v>25</x:v>
      </x:c>
      <x:c r="D13" s="31"/>
      <x:c r="E13" s="31"/>
      <x:c r="F13" s="31"/>
    </x:row>
    <x:row r="14">
      <x:c r="A14" s="32" t="str">
        <x:v>Formula-first robotics</x:v>
      </x:c>
      <x:c r="B14" s="32" t="n">
        <x:f>COUNTIFS(Dataset!C$2:C$151,A14,Dataset!B$2:B$151,"robotics_real_world")</x:f>
        <x:v>30</x:v>
      </x:c>
      <x:c r="C14" s="32" t="n">
        <x:f>COUNTIFS(Dataset!C$2:C$151,A14,Dataset!B$2:B$151,"paper_challenge")</x:f>
        <x:v>0</x:v>
      </x:c>
      <x:c r="D14" s="31"/>
      <x:c r="E14" s="31"/>
      <x:c r="F14" s="31"/>
    </x:row>
    <x:row r="15">
      <x:c r="A15" s="32" t="str">
        <x:v>Total</x:v>
      </x:c>
      <x:c r="B15" s="32" t="n">
        <x:f>SUM(B10:B14)</x:f>
        <x:v>50</x:v>
      </x:c>
      <x:c r="C15" s="32" t="n">
        <x:f>SUM(C10:C14)</x:f>
        <x:v>100</x:v>
      </x:c>
      <x:c r="D15" s="31"/>
      <x:c r="E15" s="31"/>
      <x:c r="F15" s="3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9ecf0c572704a65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0" hidden="0" customWidth="1"/>
    <x:col min="5" max="5" width="24" hidden="0" customWidth="1"/>
    <x:col min="6" max="6" width="35" hidden="0" customWidth="1"/>
    <x:col min="7" max="7" width="34" hidden="0" customWidth="1"/>
    <x:col min="8" max="8" width="21" hidden="0" customWidth="1"/>
    <x:col min="9" max="9" width="24" hidden="0" customWidth="1"/>
    <x:col min="10" max="10" width="48" hidden="0" customWidth="1"/>
    <x:col min="11" max="11" width="48" hidden="0" customWidth="1"/>
    <x:col min="12" max="12" width="42" hidden="0" customWidth="1"/>
    <x:col min="13" max="13" width="28" hidden="0" customWidth="1"/>
    <x:col min="14" max="14" width="48" hidden="0" customWidth="1"/>
    <x:col min="15" max="15" width="38" hidden="0" customWidth="1"/>
    <x:col min="16" max="16" width="48" hidden="0" customWidth="1"/>
    <x:col min="17" max="17" width="48" hidden="0" customWidth="1"/>
    <x:col min="18" max="18" width="48" hidden="0" customWidth="1"/>
    <x:col min="19" max="19" width="11" hidden="0" customWidth="1"/>
    <x:col min="20" max="20" width="22" hidden="0" customWidth="1"/>
    <x:col min="21" max="21" width="22" hidden="0" customWidth="1"/>
    <x:col min="22" max="22" width="40" hidden="0" customWidth="1"/>
    <x:col min="23" max="23" width="42" hidden="0" customWidth="1"/>
  </x:cols>
  <x:sheetData>
    <x:row r="1">
      <x:c r="A1" s="14" t="str">
        <x:v>id</x:v>
      </x:c>
      <x:c r="B1" s="14" t="str">
        <x:v>group</x:v>
      </x:c>
      <x:c r="C1" s="14" t="str">
        <x:v>target_paper</x:v>
      </x:c>
      <x:c r="D1" s="14" t="str">
        <x:v>case_type</x:v>
      </x:c>
      <x:c r="E1" s="14" t="str">
        <x:v>source_status</x:v>
      </x:c>
      <x:c r="F1" s="14" t="str">
        <x:v>source_locator</x:v>
      </x:c>
      <x:c r="G1" s="14" t="str">
        <x:v>source_url</x:v>
      </x:c>
      <x:c r="H1" s="14" t="str">
        <x:v>domain</x:v>
      </x:c>
      <x:c r="I1" s="14" t="str">
        <x:v>task_mode</x:v>
      </x:c>
      <x:c r="J1" s="14" t="str">
        <x:v>requirement_nl</x:v>
      </x:c>
      <x:c r="K1" s="14" t="str">
        <x:v>gold_stl</x:v>
      </x:c>
      <x:c r="L1" s="14" t="str">
        <x:v>alternative_gold_stl</x:v>
      </x:c>
      <x:c r="M1" s="14" t="str">
        <x:v>defect_type</x:v>
      </x:c>
      <x:c r="N1" s="14" t="str">
        <x:v>clarification_question</x:v>
      </x:c>
      <x:c r="O1" s="14" t="str">
        <x:v>oracle_answer</x:v>
      </x:c>
      <x:c r="P1" s="14" t="str">
        <x:v>clarified_requirement</x:v>
      </x:c>
      <x:c r="Q1" s="14" t="str">
        <x:v>gold_after_clarification</x:v>
      </x:c>
      <x:c r="R1" s="14" t="str">
        <x:v>limitation_target</x:v>
      </x:c>
      <x:c r="S1" s="14" t="str">
        <x:v>difficulty</x:v>
      </x:c>
      <x:c r="T1" s="14" t="str">
        <x:v>operators</x:v>
      </x:c>
      <x:c r="U1" s="14" t="str">
        <x:v>fragment</x:v>
      </x:c>
      <x:c r="V1" s="14" t="str">
        <x:v>signal_context</x:v>
      </x:c>
      <x:c r="W1" s="14" t="str">
        <x:v>notes</x:v>
      </x:c>
    </x:row>
    <x:row r="2">
      <x:c r="A2" s="15" t="str">
        <x:v>NLSTL150-001</x:v>
      </x:c>
      <x:c r="B2" s="15" t="str">
        <x:v>paper_supported</x:v>
      </x:c>
      <x:c r="C2" s="15" t="str">
        <x:v>DeepSTL</x:v>
      </x:c>
      <x:c r="D2" s="15" t="str">
        <x:v>expected_strength</x:v>
      </x:c>
      <x:c r="E2" s="15" t="str">
        <x:v>paper_explicit_paraphrase</x:v>
      </x:c>
      <x:c r="F2" s="15" t="str">
        <x:v>Uploaded PDF: NL-STL Examples.pdf, p.4 / paper example</x:v>
      </x:c>
      <x:c r="G2" s="15" t="str">
        <x:v>https://arxiv.org/abs/2109.10294</x:v>
      </x:c>
      <x:c r="H2" s="15" t="str">
        <x:v>circuit/control</x:v>
      </x:c>
      <x:c r="I2" s="15" t="str">
        <x:v>translate</x:v>
      </x:c>
      <x:c r="J2" s="15" t="str">
        <x:v>Whenever V_In is greater than 5, V_Out must become smaller than 2 within the next 10 time units.</x:v>
      </x:c>
      <x:c r="K2" s="15" t="str">
        <x:v>G((V_In &gt; 5) -&gt; F[0,10](V_Out &lt; 2))</x:v>
      </x:c>
      <x:c r="L2" s="15" t="str"/>
      <x:c r="M2" s="15" t="str">
        <x:v>none</x:v>
      </x:c>
      <x:c r="N2" s="15" t="str"/>
      <x:c r="O2" s="15" t="str"/>
      <x:c r="P2" s="15" t="str"/>
      <x:c r="Q2" s="15" t="str"/>
      <x:c r="R2" s="15" t="str"/>
      <x:c r="S2" s="15" t="n">
        <x:v>2</x:v>
      </x:c>
      <x:c r="T2" s="15" t="str">
        <x:v>G,F,-&gt;</x:v>
      </x:c>
      <x:c r="U2" s="15" t="str">
        <x:v>future_stl</x:v>
      </x:c>
      <x:c r="V2" s="15" t="str">
        <x:v>V_In,V_Out</x:v>
      </x:c>
      <x:c r="W2" s="15" t="str">
        <x:v>Canonical bounded-response form used in the earlier benchmark draft.</x:v>
      </x:c>
    </x:row>
    <x:row r="3">
      <x:c r="A3" s="15" t="str">
        <x:v>NLSTL150-002</x:v>
      </x:c>
      <x:c r="B3" s="15" t="str">
        <x:v>paper_supported</x:v>
      </x:c>
      <x:c r="C3" s="15" t="str">
        <x:v>DeepSTL</x:v>
      </x:c>
      <x:c r="D3" s="15" t="str">
        <x:v>expected_strength</x:v>
      </x:c>
      <x:c r="E3" s="15" t="str">
        <x:v>paper_explicit_paraphrase</x:v>
      </x:c>
      <x:c r="F3" s="15" t="str">
        <x:v>Uploaded PDF: NL-STL Examples.pdf, p.4, Example 2</x:v>
      </x:c>
      <x:c r="G3" s="15" t="str">
        <x:v>https://arxiv.org/abs/2109.10294</x:v>
      </x:c>
      <x:c r="H3" s="15" t="str">
        <x:v>aircraft/control</x:v>
      </x:c>
      <x:c r="I3" s="15" t="str">
        <x:v>translate</x:v>
      </x:c>
      <x:c r="J3" s="15" t="str">
        <x:v>Whenever Op_Cmd changes to Passive, Spd_Act must become 0 within at most 500 time units.</x:v>
      </x:c>
      <x:c r="K3" s="15" t="str">
        <x:v>G(rise(Op_Cmd = Passive) -&gt; F[0,500](Spd_Act = 0))</x:v>
      </x:c>
      <x:c r="L3" s="15" t="str"/>
      <x:c r="M3" s="15" t="str">
        <x:v>none</x:v>
      </x:c>
      <x:c r="N3" s="15" t="str"/>
      <x:c r="O3" s="15" t="str"/>
      <x:c r="P3" s="15" t="str"/>
      <x:c r="Q3" s="15" t="str"/>
      <x:c r="R3" s="15" t="str"/>
      <x:c r="S3" s="15" t="n">
        <x:v>3</x:v>
      </x:c>
      <x:c r="T3" s="15" t="str">
        <x:v>G,F,rise,-&gt;</x:v>
      </x:c>
      <x:c r="U3" s="15" t="str">
        <x:v>future_stl_with_edges</x:v>
      </x:c>
      <x:c r="V3" s="15" t="str">
        <x:v>Op_Cmd enumerated; Spd_Act numeric</x:v>
      </x:c>
      <x:c r="W3" s="15" t="str"/>
    </x:row>
    <x:row r="4">
      <x:c r="A4" s="15" t="str">
        <x:v>NLSTL150-003</x:v>
      </x:c>
      <x:c r="B4" s="15" t="str">
        <x:v>paper_supported</x:v>
      </x:c>
      <x:c r="C4" s="15" t="str">
        <x:v>DeepSTL</x:v>
      </x:c>
      <x:c r="D4" s="15" t="str">
        <x:v>expected_strength</x:v>
      </x:c>
      <x:c r="E4" s="15" t="str">
        <x:v>paper_explicit_paraphrase</x:v>
      </x:c>
      <x:c r="F4" s="15" t="str">
        <x:v>Uploaded PDF: NL-STL Examples.pdf, p.4, Example 3</x:v>
      </x:c>
      <x:c r="G4" s="15" t="str">
        <x:v>https://arxiv.org/abs/2109.10294</x:v>
      </x:c>
      <x:c r="H4" s="15" t="str">
        <x:v>aircraft/control</x:v>
      </x:c>
      <x:c r="I4" s="15" t="str">
        <x:v>translate</x:v>
      </x:c>
      <x:c r="J4" s="15" t="str">
        <x:v>Whenever V_Mot enters the interval from 1 to 12, Spd_Act must enter the interval from 100 to 1000 within 100 time units.</x:v>
      </x:c>
      <x:c r="K4" s="15" t="str">
        <x:v>G(rise((V_Mot &gt;= 1) &amp; (V_Mot &lt;= 12)) -&gt; F[0,100]((Spd_Act &gt;= 100) &amp; (Spd_Act &lt;= 1000)))</x:v>
      </x:c>
      <x:c r="L4" s="15" t="str"/>
      <x:c r="M4" s="15" t="str">
        <x:v>none</x:v>
      </x:c>
      <x:c r="N4" s="15" t="str"/>
      <x:c r="O4" s="15" t="str"/>
      <x:c r="P4" s="15" t="str"/>
      <x:c r="Q4" s="15" t="str"/>
      <x:c r="R4" s="15" t="str"/>
      <x:c r="S4" s="15" t="n">
        <x:v>3</x:v>
      </x:c>
      <x:c r="T4" s="15" t="str">
        <x:v>G,F,rise,&amp;,-&gt;</x:v>
      </x:c>
      <x:c r="U4" s="15" t="str">
        <x:v>future_stl_with_edges</x:v>
      </x:c>
      <x:c r="V4" s="15" t="str">
        <x:v>V_Mot,Spd_Act numeric</x:v>
      </x:c>
      <x:c r="W4" s="15" t="str"/>
    </x:row>
    <x:row r="5">
      <x:c r="A5" s="15" t="str">
        <x:v>NLSTL150-004</x:v>
      </x:c>
      <x:c r="B5" s="15" t="str">
        <x:v>paper_supported</x:v>
      </x:c>
      <x:c r="C5" s="15" t="str">
        <x:v>DeepSTL</x:v>
      </x:c>
      <x:c r="D5" s="15" t="str">
        <x:v>expected_strength</x:v>
      </x:c>
      <x:c r="E5" s="15" t="str">
        <x:v>paper_explicit_paraphrase</x:v>
      </x:c>
      <x:c r="F5" s="15" t="str">
        <x:v>Uploaded PDF: NL-STL Examples.pdf, p.4, Example 1</x:v>
      </x:c>
      <x:c r="G5" s="15" t="str">
        <x:v>https://arxiv.org/abs/2109.10294</x:v>
      </x:c>
      <x:c r="H5" s="15" t="str">
        <x:v>spacecraft/control</x:v>
      </x:c>
      <x:c r="I5" s="15" t="str">
        <x:v>translate</x:v>
      </x:c>
      <x:c r="J5" s="15" t="str">
        <x:v>Whenever reaction-wheel angular momentum is greater than 0.35, reaction-wheel torque must equal 0.</x:v>
      </x:c>
      <x:c r="K5" s="15" t="str">
        <x:v>G((RWs_angular_momentum &gt; 0.35) -&gt; (RWs_torque = 0))</x:v>
      </x:c>
      <x:c r="L5" s="15" t="str"/>
      <x:c r="M5" s="15" t="str">
        <x:v>none</x:v>
      </x:c>
      <x:c r="N5" s="15" t="str"/>
      <x:c r="O5" s="15" t="str"/>
      <x:c r="P5" s="15" t="str"/>
      <x:c r="Q5" s="15" t="str"/>
      <x:c r="R5" s="15" t="str"/>
      <x:c r="S5" s="15" t="n">
        <x:v>2</x:v>
      </x:c>
      <x:c r="T5" s="15" t="str">
        <x:v>G,-&gt;</x:v>
      </x:c>
      <x:c r="U5" s="15" t="str">
        <x:v>future_stl</x:v>
      </x:c>
      <x:c r="V5" s="15" t="str">
        <x:v>RWs_angular_momentum,RWs_torque</x:v>
      </x:c>
      <x:c r="W5" s="15" t="str"/>
    </x:row>
    <x:row r="6">
      <x:c r="A6" s="15" t="str">
        <x:v>NLSTL150-005</x:v>
      </x:c>
      <x:c r="B6" s="15" t="str">
        <x:v>paper_supported</x:v>
      </x:c>
      <x:c r="C6" s="15" t="str">
        <x:v>DeepSTL</x:v>
      </x:c>
      <x:c r="D6" s="15" t="str">
        <x:v>expected_strength</x:v>
      </x:c>
      <x:c r="E6" s="15" t="str">
        <x:v>paper_aligned</x:v>
      </x:c>
      <x:c r="F6" s="15" t="str">
        <x:v>Uploaded PDF: NL-STL Examples.pdf, p.3, high-support invariance/reachability category</x:v>
      </x:c>
      <x:c r="G6" s="15" t="str">
        <x:v>https://arxiv.org/abs/2109.10294</x:v>
      </x:c>
      <x:c r="H6" s="15" t="str">
        <x:v>generic signal</x:v>
      </x:c>
      <x:c r="I6" s="15" t="str">
        <x:v>translate</x:v>
      </x:c>
      <x:c r="J6" s="15" t="str">
        <x:v>During the first 40 time units, x must remain below 8.</x:v>
      </x:c>
      <x:c r="K6" s="15" t="str">
        <x:v>G[0,40](x &lt; 8)</x:v>
      </x:c>
      <x:c r="L6" s="15" t="str"/>
      <x:c r="M6" s="15" t="str">
        <x:v>none</x:v>
      </x:c>
      <x:c r="N6" s="15" t="str"/>
      <x:c r="O6" s="15" t="str"/>
      <x:c r="P6" s="15" t="str"/>
      <x:c r="Q6" s="15" t="str"/>
      <x:c r="R6" s="15" t="str"/>
      <x:c r="S6" s="15" t="n">
        <x:v>1</x:v>
      </x:c>
      <x:c r="T6" s="15" t="str">
        <x:v>G</x:v>
      </x:c>
      <x:c r="U6" s="15" t="str">
        <x:v>future_stl</x:v>
      </x:c>
      <x:c r="V6" s="15" t="str">
        <x:v>x numeric</x:v>
      </x:c>
      <x:c r="W6" s="15" t="str">
        <x:v>Constructed to match the paper's highly supported invariance/reachability family.</x:v>
      </x:c>
    </x:row>
    <x:row r="7">
      <x:c r="A7" s="15" t="str">
        <x:v>NLSTL150-006</x:v>
      </x:c>
      <x:c r="B7" s="15" t="str">
        <x:v>paper_challenge</x:v>
      </x:c>
      <x:c r="C7" s="15" t="str">
        <x:v>DeepSTL</x:v>
      </x:c>
      <x:c r="D7" s="15" t="str">
        <x:v>limitation_probe</x:v>
      </x:c>
      <x:c r="E7" s="15" t="str">
        <x:v>limitation_constructed</x:v>
      </x:c>
      <x:c r="F7" s="15" t="str">
        <x:v>Constructed from restrictions summarized in uploaded PDF pp.2–3</x:v>
      </x:c>
      <x:c r="G7" s="15" t="str">
        <x:v>https://arxiv.org/abs/2109.10294</x:v>
      </x:c>
      <x:c r="H7" s="15" t="str">
        <x:v>automotive</x:v>
      </x:c>
      <x:c r="I7" s="15" t="str">
        <x:v>translate</x:v>
      </x:c>
      <x:c r="J7" s="15" t="str">
        <x:v>The coolant temperature must stay below 95, oil pressure above 15, and battery voltage above 11 at all times.</x:v>
      </x:c>
      <x:c r="K7" s="15" t="str">
        <x:v>G((coolant_temp &lt; 95) &amp; (oil_pressure &gt; 15) &amp; (battery_voltage &gt; 11))</x:v>
      </x:c>
      <x:c r="L7" s="15" t="str"/>
      <x:c r="M7" s="15" t="str">
        <x:v>none</x:v>
      </x:c>
      <x:c r="N7" s="15" t="str"/>
      <x:c r="O7" s="15" t="str"/>
      <x:c r="P7" s="15" t="str"/>
      <x:c r="Q7" s="15" t="str"/>
      <x:c r="R7" s="15" t="str">
        <x:v>Conjunction of more than two atomic propositions</x:v>
      </x:c>
      <x:c r="S7" s="15" t="n">
        <x:v>3</x:v>
      </x:c>
      <x:c r="T7" s="15" t="str">
        <x:v>G,&amp;</x:v>
      </x:c>
      <x:c r="U7" s="15" t="str">
        <x:v>future_stl</x:v>
      </x:c>
      <x:c r="V7" s="15" t="str"/>
      <x:c r="W7" s="15" t="str"/>
    </x:row>
    <x:row r="8">
      <x:c r="A8" s="15" t="str">
        <x:v>NLSTL150-007</x:v>
      </x:c>
      <x:c r="B8" s="15" t="str">
        <x:v>paper_challenge</x:v>
      </x:c>
      <x:c r="C8" s="15" t="str">
        <x:v>DeepSTL</x:v>
      </x:c>
      <x:c r="D8" s="15" t="str">
        <x:v>limitation_probe</x:v>
      </x:c>
      <x:c r="E8" s="15" t="str">
        <x:v>limitation_constructed</x:v>
      </x:c>
      <x:c r="F8" s="15" t="str">
        <x:v>Constructed from restrictions summarized in uploaded PDF pp.2–3</x:v>
      </x:c>
      <x:c r="G8" s="15" t="str">
        <x:v>https://arxiv.org/abs/2109.10294</x:v>
      </x:c>
      <x:c r="H8" s="15" t="str">
        <x:v>industrial</x:v>
      </x:c>
      <x:c r="I8" s="15" t="str">
        <x:v>translate</x:v>
      </x:c>
      <x:c r="J8" s="15" t="str">
        <x:v>At all times, at least one of the primary, secondary, or emergency pump must be running.</x:v>
      </x:c>
      <x:c r="K8" s="15" t="str">
        <x:v>G((pump_primary = 1) | (pump_secondary = 1) | (pump_emergency = 1))</x:v>
      </x:c>
      <x:c r="L8" s="15" t="str"/>
      <x:c r="M8" s="15" t="str">
        <x:v>none</x:v>
      </x:c>
      <x:c r="N8" s="15" t="str"/>
      <x:c r="O8" s="15" t="str"/>
      <x:c r="P8" s="15" t="str"/>
      <x:c r="Q8" s="15" t="str"/>
      <x:c r="R8" s="15" t="str">
        <x:v>Disjunction of more than two atomic propositions</x:v>
      </x:c>
      <x:c r="S8" s="15" t="n">
        <x:v>3</x:v>
      </x:c>
      <x:c r="T8" s="15" t="str">
        <x:v>G,|</x:v>
      </x:c>
      <x:c r="U8" s="15" t="str">
        <x:v>future_stl</x:v>
      </x:c>
      <x:c r="V8" s="15" t="str"/>
      <x:c r="W8" s="15" t="str"/>
    </x:row>
    <x:row r="9">
      <x:c r="A9" s="15" t="str">
        <x:v>NLSTL150-008</x:v>
      </x:c>
      <x:c r="B9" s="15" t="str">
        <x:v>paper_challenge</x:v>
      </x:c>
      <x:c r="C9" s="15" t="str">
        <x:v>DeepSTL</x:v>
      </x:c>
      <x:c r="D9" s="15" t="str">
        <x:v>limitation_probe</x:v>
      </x:c>
      <x:c r="E9" s="15" t="str">
        <x:v>limitation_constructed</x:v>
      </x:c>
      <x:c r="F9" s="15" t="str">
        <x:v>Constructed from restrictions summarized in uploaded PDF pp.2–3</x:v>
      </x:c>
      <x:c r="G9" s="15" t="str">
        <x:v>https://arxiv.org/abs/2109.10294</x:v>
      </x:c>
      <x:c r="H9" s="15" t="str">
        <x:v>industrial</x:v>
      </x:c>
      <x:c r="I9" s="15" t="str">
        <x:v>translate</x:v>
      </x:c>
      <x:c r="J9" s="15" t="str">
        <x:v>Within 8 seconds, both the valve must be open and pressure must be below 6.</x:v>
      </x:c>
      <x:c r="K9" s="15" t="str">
        <x:v>F[0,8]((valve_open = 1) &amp; (pressure &lt; 6))</x:v>
      </x:c>
      <x:c r="L9" s="15" t="str"/>
      <x:c r="M9" s="15" t="str">
        <x:v>none</x:v>
      </x:c>
      <x:c r="N9" s="15" t="str"/>
      <x:c r="O9" s="15" t="str"/>
      <x:c r="P9" s="15" t="str"/>
      <x:c r="Q9" s="15" t="str"/>
      <x:c r="R9" s="15" t="str">
        <x:v>More than one atomic proposition inside a temporal operator</x:v>
      </x:c>
      <x:c r="S9" s="15" t="n">
        <x:v>3</x:v>
      </x:c>
      <x:c r="T9" s="15" t="str">
        <x:v>F,&amp;</x:v>
      </x:c>
      <x:c r="U9" s="15" t="str">
        <x:v>future_stl</x:v>
      </x:c>
      <x:c r="V9" s="15" t="str"/>
      <x:c r="W9" s="15" t="str"/>
    </x:row>
    <x:row r="10">
      <x:c r="A10" s="15" t="str">
        <x:v>NLSTL150-009</x:v>
      </x:c>
      <x:c r="B10" s="15" t="str">
        <x:v>paper_challenge</x:v>
      </x:c>
      <x:c r="C10" s="15" t="str">
        <x:v>DeepSTL</x:v>
      </x:c>
      <x:c r="D10" s="15" t="str">
        <x:v>limitation_probe</x:v>
      </x:c>
      <x:c r="E10" s="15" t="str">
        <x:v>limitation_constructed</x:v>
      </x:c>
      <x:c r="F10" s="15" t="str">
        <x:v>Constructed from restrictions summarized in uploaded PDF pp.2–3</x:v>
      </x:c>
      <x:c r="G10" s="15" t="str">
        <x:v>https://arxiv.org/abs/2109.10294</x:v>
      </x:c>
      <x:c r="H10" s="15" t="str">
        <x:v>automotive</x:v>
      </x:c>
      <x:c r="I10" s="15" t="str">
        <x:v>translate</x:v>
      </x:c>
      <x:c r="J10" s="15" t="str">
        <x:v>For the next 15 seconds, speed must be below 10 or the emergency brake must be active.</x:v>
      </x:c>
      <x:c r="K10" s="15" t="str">
        <x:v>G[0,15]((speed &lt; 10) | (emergency_brake = 1))</x:v>
      </x:c>
      <x:c r="L10" s="15" t="str"/>
      <x:c r="M10" s="15" t="str">
        <x:v>none</x:v>
      </x:c>
      <x:c r="N10" s="15" t="str"/>
      <x:c r="O10" s="15" t="str"/>
      <x:c r="P10" s="15" t="str"/>
      <x:c r="Q10" s="15" t="str"/>
      <x:c r="R10" s="15" t="str">
        <x:v>Boolean compound inside a temporal operator</x:v>
      </x:c>
      <x:c r="S10" s="15" t="n">
        <x:v>3</x:v>
      </x:c>
      <x:c r="T10" s="15" t="str">
        <x:v>G,|</x:v>
      </x:c>
      <x:c r="U10" s="15" t="str">
        <x:v>future_stl</x:v>
      </x:c>
      <x:c r="V10" s="15" t="str"/>
      <x:c r="W10" s="15" t="str"/>
    </x:row>
    <x:row r="11">
      <x:c r="A11" s="15" t="str">
        <x:v>NLSTL150-010</x:v>
      </x:c>
      <x:c r="B11" s="15" t="str">
        <x:v>paper_challenge</x:v>
      </x:c>
      <x:c r="C11" s="15" t="str">
        <x:v>DeepSTL</x:v>
      </x:c>
      <x:c r="D11" s="15" t="str">
        <x:v>limitation_probe</x:v>
      </x:c>
      <x:c r="E11" s="15" t="str">
        <x:v>limitation_constructed</x:v>
      </x:c>
      <x:c r="F11" s="15" t="str">
        <x:v>Constructed from restrictions summarized in uploaded PDF pp.2–3</x:v>
      </x:c>
      <x:c r="G11" s="15" t="str">
        <x:v>https://arxiv.org/abs/2109.10294</x:v>
      </x:c>
      <x:c r="H11" s="15" t="str">
        <x:v>access control</x:v>
      </x:c>
      <x:c r="I11" s="15" t="str">
        <x:v>translate</x:v>
      </x:c>
      <x:c r="J11" s="15" t="str">
        <x:v>The door must be closed now, and a lock confirmation must arrive within 2 seconds.</x:v>
      </x:c>
      <x:c r="K11" s="15" t="str">
        <x:v>(door_closed = 1) &amp; F[0,2](lock_confirmed = 1)</x:v>
      </x:c>
      <x:c r="L11" s="15" t="str"/>
      <x:c r="M11" s="15" t="str">
        <x:v>none</x:v>
      </x:c>
      <x:c r="N11" s="15" t="str"/>
      <x:c r="O11" s="15" t="str"/>
      <x:c r="P11" s="15" t="str"/>
      <x:c r="Q11" s="15" t="str"/>
      <x:c r="R11" s="15" t="str">
        <x:v>Boolean combination of state and temporal formulas</x:v>
      </x:c>
      <x:c r="S11" s="15" t="n">
        <x:v>3</x:v>
      </x:c>
      <x:c r="T11" s="15" t="str">
        <x:v>F,&amp;</x:v>
      </x:c>
      <x:c r="U11" s="15" t="str">
        <x:v>future_stl</x:v>
      </x:c>
      <x:c r="V11" s="15" t="str"/>
      <x:c r="W11" s="15" t="str"/>
    </x:row>
    <x:row r="12">
      <x:c r="A12" s="15" t="str">
        <x:v>NLSTL150-011</x:v>
      </x:c>
      <x:c r="B12" s="15" t="str">
        <x:v>paper_challenge</x:v>
      </x:c>
      <x:c r="C12" s="15" t="str">
        <x:v>DeepSTL</x:v>
      </x:c>
      <x:c r="D12" s="15" t="str">
        <x:v>limitation_probe</x:v>
      </x:c>
      <x:c r="E12" s="15" t="str">
        <x:v>limitation_constructed</x:v>
      </x:c>
      <x:c r="F12" s="15" t="str">
        <x:v>Constructed from restrictions summarized in uploaded PDF pp.2–3</x:v>
      </x:c>
      <x:c r="G12" s="15" t="str">
        <x:v>https://arxiv.org/abs/2109.10294</x:v>
      </x:c>
      <x:c r="H12" s="15" t="str">
        <x:v>control</x:v>
      </x:c>
      <x:c r="I12" s="15" t="str">
        <x:v>translate</x:v>
      </x:c>
      <x:c r="J12" s="15" t="str">
        <x:v>Whenever a fault occurs, recovery must begin within 5 seconds and then remain active for 10 seconds.</x:v>
      </x:c>
      <x:c r="K12" s="15" t="str">
        <x:v>G(rise(fault = 1) -&gt; F[0,5](G[0,10](recovery = 1)))</x:v>
      </x:c>
      <x:c r="L12" s="15" t="str"/>
      <x:c r="M12" s="15" t="str">
        <x:v>none</x:v>
      </x:c>
      <x:c r="N12" s="15" t="str"/>
      <x:c r="O12" s="15" t="str"/>
      <x:c r="P12" s="15" t="str"/>
      <x:c r="Q12" s="15" t="str"/>
      <x:c r="R12" s="15" t="str">
        <x:v>Nested temporal operators beyond simple templates</x:v>
      </x:c>
      <x:c r="S12" s="15" t="n">
        <x:v>4</x:v>
      </x:c>
      <x:c r="T12" s="15" t="str">
        <x:v>G,F,rise,-&gt;</x:v>
      </x:c>
      <x:c r="U12" s="15" t="str">
        <x:v>future_stl</x:v>
      </x:c>
      <x:c r="V12" s="15" t="str"/>
      <x:c r="W12" s="15" t="str"/>
    </x:row>
    <x:row r="13">
      <x:c r="A13" s="15" t="str">
        <x:v>NLSTL150-012</x:v>
      </x:c>
      <x:c r="B13" s="15" t="str">
        <x:v>paper_challenge</x:v>
      </x:c>
      <x:c r="C13" s="15" t="str">
        <x:v>DeepSTL</x:v>
      </x:c>
      <x:c r="D13" s="15" t="str">
        <x:v>limitation_probe</x:v>
      </x:c>
      <x:c r="E13" s="15" t="str">
        <x:v>limitation_constructed</x:v>
      </x:c>
      <x:c r="F13" s="15" t="str">
        <x:v>Constructed from restrictions summarized in uploaded PDF pp.2–3</x:v>
      </x:c>
      <x:c r="G13" s="15" t="str">
        <x:v>https://arxiv.org/abs/2109.10294</x:v>
      </x:c>
      <x:c r="H13" s="15" t="str">
        <x:v>robotics</x:v>
      </x:c>
      <x:c r="I13" s="15" t="str">
        <x:v>translate</x:v>
      </x:c>
      <x:c r="J13" s="15" t="str">
        <x:v>The robot must remain outside the hazard zone until it reaches the charging station within 60 seconds.</x:v>
      </x:c>
      <x:c r="K13" s="15" t="str">
        <x:v>(!(hazard_zone = 1)) U[0,60] (charging_station = 1)</x:v>
      </x:c>
      <x:c r="L13" s="15" t="str"/>
      <x:c r="M13" s="15" t="str">
        <x:v>none</x:v>
      </x:c>
      <x:c r="N13" s="15" t="str"/>
      <x:c r="O13" s="15" t="str"/>
      <x:c r="P13" s="15" t="str"/>
      <x:c r="Q13" s="15" t="str"/>
      <x:c r="R13" s="15" t="str">
        <x:v>Formula outside the four most common templates; bounded until</x:v>
      </x:c>
      <x:c r="S13" s="15" t="n">
        <x:v>4</x:v>
      </x:c>
      <x:c r="T13" s="15" t="str">
        <x:v>U,!</x:v>
      </x:c>
      <x:c r="U13" s="15" t="str">
        <x:v>future_stl</x:v>
      </x:c>
      <x:c r="V13" s="15" t="str"/>
      <x:c r="W13" s="15" t="str"/>
    </x:row>
    <x:row r="14">
      <x:c r="A14" s="15" t="str">
        <x:v>NLSTL150-013</x:v>
      </x:c>
      <x:c r="B14" s="15" t="str">
        <x:v>paper_challenge</x:v>
      </x:c>
      <x:c r="C14" s="15" t="str">
        <x:v>DeepSTL</x:v>
      </x:c>
      <x:c r="D14" s="15" t="str">
        <x:v>limitation_probe</x:v>
      </x:c>
      <x:c r="E14" s="15" t="str">
        <x:v>limitation_constructed</x:v>
      </x:c>
      <x:c r="F14" s="15" t="str">
        <x:v>Constructed from restrictions summarized in uploaded PDF pp.2–3</x:v>
      </x:c>
      <x:c r="G14" s="15" t="str">
        <x:v>https://arxiv.org/abs/2109.10294</x:v>
      </x:c>
      <x:c r="H14" s="15" t="str">
        <x:v>control</x:v>
      </x:c>
      <x:c r="I14" s="15" t="str">
        <x:v>translate</x:v>
      </x:c>
      <x:c r="J14" s="15" t="str">
        <x:v>Whenever reset is issued, the fault flag must have been false throughout the preceding 5 seconds.</x:v>
      </x:c>
      <x:c r="K14" s="15" t="str">
        <x:v>G((reset = 1) -&gt; H[0,5](fault = 0))</x:v>
      </x:c>
      <x:c r="L14" s="15" t="str"/>
      <x:c r="M14" s="15" t="str">
        <x:v>none</x:v>
      </x:c>
      <x:c r="N14" s="15" t="str"/>
      <x:c r="O14" s="15" t="str"/>
      <x:c r="P14" s="15" t="str"/>
      <x:c r="Q14" s="15" t="str"/>
      <x:c r="R14" s="15" t="str">
        <x:v>Past-time operator outside the restricted future fragment</x:v>
      </x:c>
      <x:c r="S14" s="15" t="n">
        <x:v>5</x:v>
      </x:c>
      <x:c r="T14" s="15" t="str">
        <x:v>G,H,-&gt;</x:v>
      </x:c>
      <x:c r="U14" s="15" t="str">
        <x:v>future_stl</x:v>
      </x:c>
      <x:c r="V14" s="15" t="str"/>
      <x:c r="W14" s="15" t="str"/>
    </x:row>
    <x:row r="15">
      <x:c r="A15" s="15" t="str">
        <x:v>NLSTL150-014</x:v>
      </x:c>
      <x:c r="B15" s="15" t="str">
        <x:v>paper_challenge</x:v>
      </x:c>
      <x:c r="C15" s="15" t="str">
        <x:v>DeepSTL</x:v>
      </x:c>
      <x:c r="D15" s="15" t="str">
        <x:v>limitation_probe</x:v>
      </x:c>
      <x:c r="E15" s="15" t="str">
        <x:v>limitation_constructed</x:v>
      </x:c>
      <x:c r="F15" s="15" t="str">
        <x:v>Constructed from restrictions summarized in uploaded PDF pp.2–3</x:v>
      </x:c>
      <x:c r="G15" s="15" t="str">
        <x:v>https://arxiv.org/abs/2109.10294</x:v>
      </x:c>
      <x:c r="H15" s="15" t="str">
        <x:v>communications</x:v>
      </x:c>
      <x:c r="I15" s="15" t="str">
        <x:v>translate</x:v>
      </x:c>
      <x:c r="J15" s="15" t="str">
        <x:v>The warning must have remained active since the most recent loss-of-signal event.</x:v>
      </x:c>
      <x:c r="K15" s="15" t="str">
        <x:v>(warning = 1) S (loss_of_signal = 1)</x:v>
      </x:c>
      <x:c r="L15" s="15" t="str"/>
      <x:c r="M15" s="15" t="str">
        <x:v>none</x:v>
      </x:c>
      <x:c r="N15" s="15" t="str"/>
      <x:c r="O15" s="15" t="str"/>
      <x:c r="P15" s="15" t="str"/>
      <x:c r="Q15" s="15" t="str"/>
      <x:c r="R15" s="15" t="str">
        <x:v>Since operator and past dependency</x:v>
      </x:c>
      <x:c r="S15" s="15" t="n">
        <x:v>5</x:v>
      </x:c>
      <x:c r="T15" s="15" t="str">
        <x:v>S</x:v>
      </x:c>
      <x:c r="U15" s="15" t="str">
        <x:v>future_stl</x:v>
      </x:c>
      <x:c r="V15" s="15" t="str"/>
      <x:c r="W15" s="15" t="str"/>
    </x:row>
    <x:row r="16">
      <x:c r="A16" s="15" t="str">
        <x:v>NLSTL150-015</x:v>
      </x:c>
      <x:c r="B16" s="15" t="str">
        <x:v>paper_challenge</x:v>
      </x:c>
      <x:c r="C16" s="15" t="str">
        <x:v>DeepSTL</x:v>
      </x:c>
      <x:c r="D16" s="15" t="str">
        <x:v>limitation_probe</x:v>
      </x:c>
      <x:c r="E16" s="15" t="str">
        <x:v>limitation_constructed</x:v>
      </x:c>
      <x:c r="F16" s="15" t="str">
        <x:v>Constructed from restrictions summarized in uploaded PDF pp.2–3</x:v>
      </x:c>
      <x:c r="G16" s="15" t="str">
        <x:v>https://arxiv.org/abs/2109.10294</x:v>
      </x:c>
      <x:c r="H16" s="15" t="str">
        <x:v>control</x:v>
      </x:c>
      <x:c r="I16" s="15" t="str">
        <x:v>translate</x:v>
      </x:c>
      <x:c r="J16" s="15" t="str">
        <x:v>Whenever enable rises, output must turn on within 1 second; whenever enable falls, output must turn off within 1 second.</x:v>
      </x:c>
      <x:c r="K16" s="15" t="str">
        <x:v>G(rise(enable = 1) -&gt; F[0,1](output = 1)) &amp; G(fall(enable = 1) -&gt; F[0,1](output = 0))</x:v>
      </x:c>
      <x:c r="L16" s="15" t="str"/>
      <x:c r="M16" s="15" t="str">
        <x:v>none</x:v>
      </x:c>
      <x:c r="N16" s="15" t="str"/>
      <x:c r="O16" s="15" t="str"/>
      <x:c r="P16" s="15" t="str"/>
      <x:c r="Q16" s="15" t="str"/>
      <x:c r="R16" s="15" t="str">
        <x:v>Multiple edge-triggered obligations</x:v>
      </x:c>
      <x:c r="S16" s="15" t="n">
        <x:v>4</x:v>
      </x:c>
      <x:c r="T16" s="15" t="str">
        <x:v>G,F,rise,fall,&amp;,-&gt;</x:v>
      </x:c>
      <x:c r="U16" s="15" t="str">
        <x:v>future_stl</x:v>
      </x:c>
      <x:c r="V16" s="15" t="str"/>
      <x:c r="W16" s="15" t="str"/>
    </x:row>
    <x:row r="17">
      <x:c r="A17" s="15" t="str">
        <x:v>NLSTL150-016</x:v>
      </x:c>
      <x:c r="B17" s="15" t="str">
        <x:v>paper_challenge</x:v>
      </x:c>
      <x:c r="C17" s="15" t="str">
        <x:v>DeepSTL</x:v>
      </x:c>
      <x:c r="D17" s="15" t="str">
        <x:v>limitation_probe</x:v>
      </x:c>
      <x:c r="E17" s="15" t="str">
        <x:v>limitation_constructed</x:v>
      </x:c>
      <x:c r="F17" s="15" t="str">
        <x:v>Constructed from restrictions summarized in uploaded PDF pp.2–3</x:v>
      </x:c>
      <x:c r="G17" s="15" t="str">
        <x:v>https://arxiv.org/abs/2109.10294</x:v>
      </x:c>
      <x:c r="H17" s="15" t="str">
        <x:v>automotive</x:v>
      </x:c>
      <x:c r="I17" s="15" t="str">
        <x:v>translate</x:v>
      </x:c>
      <x:c r="J17" s="15" t="str">
        <x:v>If wheel slip ratio exceeds 0.18 on a low-µ surface, reduce demanded longitudinal torque within 120 milliseconds.</x:v>
      </x:c>
      <x:c r="K17" s="15" t="str">
        <x:v>G(((slip_ratio &gt; 0.18) &amp; (road_friction &lt; 0.4)) -&gt; F[0,0.12](demanded_torque &lt; torque_limit))</x:v>
      </x:c>
      <x:c r="L17" s="15" t="str"/>
      <x:c r="M17" s="15" t="str">
        <x:v>none</x:v>
      </x:c>
      <x:c r="N17" s="15" t="str"/>
      <x:c r="O17" s="15" t="str"/>
      <x:c r="P17" s="15" t="str"/>
      <x:c r="Q17" s="15" t="str"/>
      <x:c r="R17" s="15" t="str">
        <x:v>Domain vocabulary absent from controlled synthetic language</x:v>
      </x:c>
      <x:c r="S17" s="15" t="n">
        <x:v>4</x:v>
      </x:c>
      <x:c r="T17" s="15" t="str">
        <x:v>G,F,&amp;,-&gt;</x:v>
      </x:c>
      <x:c r="U17" s="15" t="str">
        <x:v>future_stl</x:v>
      </x:c>
      <x:c r="V17" s="15" t="str"/>
      <x:c r="W17" s="15" t="str"/>
    </x:row>
    <x:row r="18">
      <x:c r="A18" s="15" t="str">
        <x:v>NLSTL150-017</x:v>
      </x:c>
      <x:c r="B18" s="15" t="str">
        <x:v>paper_challenge</x:v>
      </x:c>
      <x:c r="C18" s="15" t="str">
        <x:v>DeepSTL</x:v>
      </x:c>
      <x:c r="D18" s="15" t="str">
        <x:v>limitation_probe</x:v>
      </x:c>
      <x:c r="E18" s="15" t="str">
        <x:v>limitation_constructed</x:v>
      </x:c>
      <x:c r="F18" s="15" t="str">
        <x:v>Constructed from restrictions summarized in uploaded PDF pp.2–3</x:v>
      </x:c>
      <x:c r="G18" s="15" t="str">
        <x:v>https://arxiv.org/abs/2109.10294</x:v>
      </x:c>
      <x:c r="H18" s="15" t="str">
        <x:v>assistive robotics</x:v>
      </x:c>
      <x:c r="I18" s="15" t="str">
        <x:v>translate</x:v>
      </x:c>
      <x:c r="J18" s="15" t="str">
        <x:v>If the operator releases the handle while the patient is nearby, the arm must stop before it can reach them.</x:v>
      </x:c>
      <x:c r="K18" s="15" t="str">
        <x:v>G(((handle_held = 0) &amp; (patient_near = 1)) -&gt; F[0,0.5](arm_speed = 0))</x:v>
      </x:c>
      <x:c r="L18" s="15" t="str"/>
      <x:c r="M18" s="15" t="str">
        <x:v>none</x:v>
      </x:c>
      <x:c r="N18" s="15" t="str"/>
      <x:c r="O18" s="15" t="str"/>
      <x:c r="P18" s="15" t="str"/>
      <x:c r="Q18" s="15" t="str"/>
      <x:c r="R18" s="15" t="str">
        <x:v>Human-centered terminology and implicit grounding</x:v>
      </x:c>
      <x:c r="S18" s="15" t="n">
        <x:v>4</x:v>
      </x:c>
      <x:c r="T18" s="15" t="str">
        <x:v>G,F,&amp;,-&gt;</x:v>
      </x:c>
      <x:c r="U18" s="15" t="str">
        <x:v>future_stl</x:v>
      </x:c>
      <x:c r="V18" s="15" t="str"/>
      <x:c r="W18" s="15" t="str"/>
    </x:row>
    <x:row r="19">
      <x:c r="A19" s="15" t="str">
        <x:v>NLSTL150-018</x:v>
      </x:c>
      <x:c r="B19" s="15" t="str">
        <x:v>paper_challenge</x:v>
      </x:c>
      <x:c r="C19" s="15" t="str">
        <x:v>DeepSTL</x:v>
      </x:c>
      <x:c r="D19" s="15" t="str">
        <x:v>limitation_probe</x:v>
      </x:c>
      <x:c r="E19" s="15" t="str">
        <x:v>limitation_constructed</x:v>
      </x:c>
      <x:c r="F19" s="15" t="str">
        <x:v>Constructed from restrictions summarized in uploaded PDF pp.2–3</x:v>
      </x:c>
      <x:c r="G19" s="15" t="str">
        <x:v>https://arxiv.org/abs/2109.10294</x:v>
      </x:c>
      <x:c r="H19" s="15" t="str">
        <x:v>thermal</x:v>
      </x:c>
      <x:c r="I19" s="15" t="str">
        <x:v>clarify_then_translate</x:v>
      </x:c>
      <x:c r="J19" s="15" t="str">
        <x:v>Should the chamber ever become uncomfortably warm, cooling is expected to respond without undue delay.</x:v>
      </x:c>
      <x:c r="K19" s="15" t="str"/>
      <x:c r="L19" s="15" t="str"/>
      <x:c r="M19" s="15" t="str">
        <x:v>temporal_and_numerical_vagueness</x:v>
      </x:c>
      <x:c r="N19" s="15" t="str">
        <x:v>What temperature defines “uncomfortably warm,” and what is the maximum acceptable response delay?</x:v>
      </x:c>
      <x:c r="O19" s="15" t="str">
        <x:v>Warm means above 30 °C; cooling must start within 4 seconds.</x:v>
      </x:c>
      <x:c r="P19" s="15" t="str">
        <x:v>Whenever chamber temperature exceeds 30 °C, cooling must start within 4 seconds.</x:v>
      </x:c>
      <x:c r="Q19" s="15" t="str">
        <x:v>G((chamber_temp &gt; 30) -&gt; F[0,4](cooling = 1))</x:v>
      </x:c>
      <x:c r="R19" s="15" t="str">
        <x:v>Indirect wording with missing numerical threshold and deadline</x:v>
      </x:c>
      <x:c r="S19" s="15" t="n">
        <x:v>4</x:v>
      </x:c>
      <x:c r="T19" s="15" t="str">
        <x:v>various</x:v>
      </x:c>
      <x:c r="U19" s="15" t="str">
        <x:v>future_stl</x:v>
      </x:c>
      <x:c r="V19" s="15" t="str"/>
      <x:c r="W19" s="15" t="str"/>
    </x:row>
    <x:row r="20">
      <x:c r="A20" s="15" t="str">
        <x:v>NLSTL150-019</x:v>
      </x:c>
      <x:c r="B20" s="15" t="str">
        <x:v>paper_challenge</x:v>
      </x:c>
      <x:c r="C20" s="15" t="str">
        <x:v>DeepSTL</x:v>
      </x:c>
      <x:c r="D20" s="15" t="str">
        <x:v>limitation_probe</x:v>
      </x:c>
      <x:c r="E20" s="15" t="str">
        <x:v>limitation_constructed</x:v>
      </x:c>
      <x:c r="F20" s="15" t="str">
        <x:v>Constructed from restrictions summarized in uploaded PDF pp.2–3</x:v>
      </x:c>
      <x:c r="G20" s="15" t="str">
        <x:v>https://arxiv.org/abs/2109.10294</x:v>
      </x:c>
      <x:c r="H20" s="15" t="str">
        <x:v>industrial</x:v>
      </x:c>
      <x:c r="I20" s="15" t="str">
        <x:v>translate</x:v>
      </x:c>
      <x:c r="J20" s="15" t="str">
        <x:v>Although the test bench is old and the room is noisy, if pressure exceeds 12 the relief valve must open within 2 seconds.</x:v>
      </x:c>
      <x:c r="K20" s="15" t="str">
        <x:v>G((pressure &gt; 12) -&gt; F[0,2](relief_valve = 1))</x:v>
      </x:c>
      <x:c r="L20" s="15" t="str"/>
      <x:c r="M20" s="15" t="str">
        <x:v>none</x:v>
      </x:c>
      <x:c r="N20" s="15" t="str"/>
      <x:c r="O20" s="15" t="str"/>
      <x:c r="P20" s="15" t="str"/>
      <x:c r="Q20" s="15" t="str"/>
      <x:c r="R20" s="15" t="str">
        <x:v>Natural prose and irrelevant context absent from templates</x:v>
      </x:c>
      <x:c r="S20" s="15" t="n">
        <x:v>4</x:v>
      </x:c>
      <x:c r="T20" s="15" t="str">
        <x:v>G,F,-&gt;</x:v>
      </x:c>
      <x:c r="U20" s="15" t="str">
        <x:v>future_stl</x:v>
      </x:c>
      <x:c r="V20" s="15" t="str"/>
      <x:c r="W20" s="15" t="str"/>
    </x:row>
    <x:row r="21">
      <x:c r="A21" s="15" t="str">
        <x:v>NLSTL150-020</x:v>
      </x:c>
      <x:c r="B21" s="15" t="str">
        <x:v>paper_challenge</x:v>
      </x:c>
      <x:c r="C21" s="15" t="str">
        <x:v>DeepSTL</x:v>
      </x:c>
      <x:c r="D21" s="15" t="str">
        <x:v>limitation_probe</x:v>
      </x:c>
      <x:c r="E21" s="15" t="str">
        <x:v>limitation_constructed</x:v>
      </x:c>
      <x:c r="F21" s="15" t="str">
        <x:v>Constructed from restrictions summarized in uploaded PDF pp.2–3</x:v>
      </x:c>
      <x:c r="G21" s="15" t="str">
        <x:v>https://arxiv.org/abs/2109.10294</x:v>
      </x:c>
      <x:c r="H21" s="15" t="str">
        <x:v>generic</x:v>
      </x:c>
      <x:c r="I21" s="15" t="str">
        <x:v>clarify_then_translate</x:v>
      </x:c>
      <x:c r="J21" s="15" t="str">
        <x:v>Within 20 seconds, if signal A rises, signal B must stay below 3.</x:v>
      </x:c>
      <x:c r="K21" s="15" t="str"/>
      <x:c r="L21" s="15" t="str"/>
      <x:c r="M21" s="15" t="str">
        <x:v>semantic_ambiguity</x:v>
      </x:c>
      <x:c r="N21" s="15" t="str">
        <x:v>Does the 20-second interval start now, or when signal A rises?</x:v>
      </x:c>
      <x:c r="O21" s="15" t="str">
        <x:v>It starts when signal A rises.</x:v>
      </x:c>
      <x:c r="P21" s="15" t="str">
        <x:v>Whenever signal A rises, signal B must remain below 3 for the next 20 seconds.</x:v>
      </x:c>
      <x:c r="Q21" s="15" t="str">
        <x:v>G(rise(A = 1) -&gt; G[0,20](B &lt; 3))</x:v>
      </x:c>
      <x:c r="R21" s="15" t="str">
        <x:v>Ambiguous attachment of the 20-second interval</x:v>
      </x:c>
      <x:c r="S21" s="15" t="n">
        <x:v>4</x:v>
      </x:c>
      <x:c r="T21" s="15" t="str">
        <x:v>various</x:v>
      </x:c>
      <x:c r="U21" s="15" t="str">
        <x:v>future_stl</x:v>
      </x:c>
      <x:c r="V21" s="15" t="str"/>
      <x:c r="W21" s="15" t="str"/>
    </x:row>
    <x:row r="22">
      <x:c r="A22" s="15" t="str">
        <x:v>NLSTL150-021</x:v>
      </x:c>
      <x:c r="B22" s="15" t="str">
        <x:v>paper_challenge</x:v>
      </x:c>
      <x:c r="C22" s="15" t="str">
        <x:v>DeepSTL</x:v>
      </x:c>
      <x:c r="D22" s="15" t="str">
        <x:v>limitation_probe</x:v>
      </x:c>
      <x:c r="E22" s="15" t="str">
        <x:v>limitation_constructed</x:v>
      </x:c>
      <x:c r="F22" s="15" t="str">
        <x:v>Constructed from restrictions summarized in uploaded PDF pp.2–3</x:v>
      </x:c>
      <x:c r="G22" s="15" t="str">
        <x:v>https://arxiv.org/abs/2109.10294</x:v>
      </x:c>
      <x:c r="H22" s="15" t="str">
        <x:v>automotive</x:v>
      </x:c>
      <x:c r="I22" s="15" t="str">
        <x:v>clarify_then_translate</x:v>
      </x:c>
      <x:c r="J22" s="15" t="str">
        <x:v>The vehicle must keep a safe distance from the obstacle.</x:v>
      </x:c>
      <x:c r="K22" s="15" t="str"/>
      <x:c r="L22" s="15" t="str"/>
      <x:c r="M22" s="15" t="str">
        <x:v>numerical_vagueness</x:v>
      </x:c>
      <x:c r="N22" s="15" t="str">
        <x:v>What minimum distance defines “safe”?</x:v>
      </x:c>
      <x:c r="O22" s="15" t="str">
        <x:v>At least 5 metres.</x:v>
      </x:c>
      <x:c r="P22" s="15" t="str">
        <x:v>The vehicle must always remain at least 5 metres from the obstacle.</x:v>
      </x:c>
      <x:c r="Q22" s="15" t="str">
        <x:v>G(obstacle_distance &gt;= 5)</x:v>
      </x:c>
      <x:c r="R22" s="15" t="str">
        <x:v>Missing numerical threshold</x:v>
      </x:c>
      <x:c r="S22" s="15" t="n">
        <x:v>3</x:v>
      </x:c>
      <x:c r="T22" s="15" t="str">
        <x:v>various</x:v>
      </x:c>
      <x:c r="U22" s="15" t="str">
        <x:v>future_stl</x:v>
      </x:c>
      <x:c r="V22" s="15" t="str"/>
      <x:c r="W22" s="15" t="str"/>
    </x:row>
    <x:row r="23">
      <x:c r="A23" s="15" t="str">
        <x:v>NLSTL150-022</x:v>
      </x:c>
      <x:c r="B23" s="15" t="str">
        <x:v>paper_challenge</x:v>
      </x:c>
      <x:c r="C23" s="15" t="str">
        <x:v>DeepSTL</x:v>
      </x:c>
      <x:c r="D23" s="15" t="str">
        <x:v>limitation_probe</x:v>
      </x:c>
      <x:c r="E23" s="15" t="str">
        <x:v>limitation_constructed</x:v>
      </x:c>
      <x:c r="F23" s="15" t="str">
        <x:v>Constructed from restrictions summarized in uploaded PDF pp.2–3</x:v>
      </x:c>
      <x:c r="G23" s="15" t="str">
        <x:v>https://arxiv.org/abs/2109.10294</x:v>
      </x:c>
      <x:c r="H23" s="15" t="str">
        <x:v>protocol</x:v>
      </x:c>
      <x:c r="I23" s="15" t="str">
        <x:v>clarify_then_translate</x:v>
      </x:c>
      <x:c r="J23" s="15" t="str">
        <x:v>After a request, the grant should arrive soon.</x:v>
      </x:c>
      <x:c r="K23" s="15" t="str"/>
      <x:c r="L23" s="15" t="str"/>
      <x:c r="M23" s="15" t="str">
        <x:v>temporal_vagueness</x:v>
      </x:c>
      <x:c r="N23" s="15" t="str">
        <x:v>What is the maximum delay allowed for the grant?</x:v>
      </x:c>
      <x:c r="O23" s="15" t="str">
        <x:v>At most 3 seconds.</x:v>
      </x:c>
      <x:c r="P23" s="15" t="str">
        <x:v>Every request must be followed by a grant within 3 seconds.</x:v>
      </x:c>
      <x:c r="Q23" s="15" t="str">
        <x:v>G(rise(request = 1) -&gt; F[0,3](grant = 1))</x:v>
      </x:c>
      <x:c r="R23" s="15" t="str">
        <x:v>Missing temporal bound</x:v>
      </x:c>
      <x:c r="S23" s="15" t="n">
        <x:v>3</x:v>
      </x:c>
      <x:c r="T23" s="15" t="str">
        <x:v>various</x:v>
      </x:c>
      <x:c r="U23" s="15" t="str">
        <x:v>future_stl</x:v>
      </x:c>
      <x:c r="V23" s="15" t="str"/>
      <x:c r="W23" s="15" t="str"/>
    </x:row>
    <x:row r="24">
      <x:c r="A24" s="15" t="str">
        <x:v>NLSTL150-023</x:v>
      </x:c>
      <x:c r="B24" s="15" t="str">
        <x:v>paper_challenge</x:v>
      </x:c>
      <x:c r="C24" s="15" t="str">
        <x:v>DeepSTL</x:v>
      </x:c>
      <x:c r="D24" s="15" t="str">
        <x:v>limitation_probe</x:v>
      </x:c>
      <x:c r="E24" s="15" t="str">
        <x:v>limitation_constructed</x:v>
      </x:c>
      <x:c r="F24" s="15" t="str">
        <x:v>Constructed from restrictions summarized in uploaded PDF pp.2–3</x:v>
      </x:c>
      <x:c r="G24" s="15" t="str">
        <x:v>https://arxiv.org/abs/2109.10294</x:v>
      </x:c>
      <x:c r="H24" s="15" t="str">
        <x:v>control</x:v>
      </x:c>
      <x:c r="I24" s="15" t="str">
        <x:v>clarify_then_translate</x:v>
      </x:c>
      <x:c r="J24" s="15" t="str">
        <x:v>The backup controller must take over when necessary.</x:v>
      </x:c>
      <x:c r="K24" s="15" t="str"/>
      <x:c r="L24" s="15" t="str"/>
      <x:c r="M24" s="15" t="str">
        <x:v>conditional_vagueness</x:v>
      </x:c>
      <x:c r="N24" s="15" t="str">
        <x:v>Which observable condition makes takeover necessary?</x:v>
      </x:c>
      <x:c r="O24" s="15" t="str">
        <x:v>When primary_ok equals 0.</x:v>
      </x:c>
      <x:c r="P24" s="15" t="str">
        <x:v>Whenever primary_ok equals 0, the backup controller must take over.</x:v>
      </x:c>
      <x:c r="Q24" s="15" t="str">
        <x:v>G((primary_ok = 0) -&gt; (backup_active = 1))</x:v>
      </x:c>
      <x:c r="R24" s="15" t="str">
        <x:v>Undefined trigger condition</x:v>
      </x:c>
      <x:c r="S24" s="15" t="n">
        <x:v>3</x:v>
      </x:c>
      <x:c r="T24" s="15" t="str">
        <x:v>various</x:v>
      </x:c>
      <x:c r="U24" s="15" t="str">
        <x:v>future_stl</x:v>
      </x:c>
      <x:c r="V24" s="15" t="str"/>
      <x:c r="W24" s="15" t="str"/>
    </x:row>
    <x:row r="25">
      <x:c r="A25" s="15" t="str">
        <x:v>NLSTL150-024</x:v>
      </x:c>
      <x:c r="B25" s="15" t="str">
        <x:v>paper_challenge</x:v>
      </x:c>
      <x:c r="C25" s="15" t="str">
        <x:v>DeepSTL</x:v>
      </x:c>
      <x:c r="D25" s="15" t="str">
        <x:v>limitation_probe</x:v>
      </x:c>
      <x:c r="E25" s="15" t="str">
        <x:v>limitation_constructed</x:v>
      </x:c>
      <x:c r="F25" s="15" t="str">
        <x:v>Constructed from restrictions summarized in uploaded PDF pp.2–3</x:v>
      </x:c>
      <x:c r="G25" s="15" t="str">
        <x:v>https://arxiv.org/abs/2109.10294</x:v>
      </x:c>
      <x:c r="H25" s="15" t="str">
        <x:v>service system</x:v>
      </x:c>
      <x:c r="I25" s="15" t="str">
        <x:v>translate</x:v>
      </x:c>
      <x:c r="J25" s="15" t="str">
        <x:v>After a request, acknowledge within 1 second, begin service within 5 seconds, and finish within 20 seconds.</x:v>
      </x:c>
      <x:c r="K25" s="15" t="str">
        <x:v>G(rise(request = 1) -&gt; (F[0,1](ack = 1) &amp; F[0,5](service_started = 1) &amp; F[0,20](service_done = 1)))</x:v>
      </x:c>
      <x:c r="L25" s="15" t="str"/>
      <x:c r="M25" s="15" t="str">
        <x:v>none</x:v>
      </x:c>
      <x:c r="N25" s="15" t="str"/>
      <x:c r="O25" s="15" t="str"/>
      <x:c r="P25" s="15" t="str"/>
      <x:c r="Q25" s="15" t="str"/>
      <x:c r="R25" s="15" t="str">
        <x:v>Several parallel deadlines and three consequents</x:v>
      </x:c>
      <x:c r="S25" s="15" t="n">
        <x:v>4</x:v>
      </x:c>
      <x:c r="T25" s="15" t="str">
        <x:v>G,F,rise,&amp;,-&gt;</x:v>
      </x:c>
      <x:c r="U25" s="15" t="str">
        <x:v>future_stl</x:v>
      </x:c>
      <x:c r="V25" s="15" t="str"/>
      <x:c r="W25" s="15" t="str"/>
    </x:row>
    <x:row r="26">
      <x:c r="A26" s="15" t="str">
        <x:v>NLSTL150-025</x:v>
      </x:c>
      <x:c r="B26" s="15" t="str">
        <x:v>paper_challenge</x:v>
      </x:c>
      <x:c r="C26" s="15" t="str">
        <x:v>DeepSTL</x:v>
      </x:c>
      <x:c r="D26" s="15" t="str">
        <x:v>limitation_probe</x:v>
      </x:c>
      <x:c r="E26" s="15" t="str">
        <x:v>limitation_constructed</x:v>
      </x:c>
      <x:c r="F26" s="15" t="str">
        <x:v>Constructed from restrictions summarized in uploaded PDF pp.2–3</x:v>
      </x:c>
      <x:c r="G26" s="15" t="str">
        <x:v>https://arxiv.org/abs/2109.10294</x:v>
      </x:c>
      <x:c r="H26" s="15" t="str">
        <x:v>generic</x:v>
      </x:c>
      <x:c r="I26" s="15" t="str">
        <x:v>translate</x:v>
      </x:c>
      <x:c r="J26" s="15" t="str">
        <x:v>Between times 20 and 50, x1 plus x2 must not exceed 1.5 unless x3 becomes greater than 2 within 4 time units.</x:v>
      </x:c>
      <x:c r="K26" s="15" t="str">
        <x:v>G[20,50](((x1 + x2) &lt;= 1.5) U[2,4](x3 &gt; 2))</x:v>
      </x:c>
      <x:c r="L26" s="15" t="str"/>
      <x:c r="M26" s="15" t="str">
        <x:v>none</x:v>
      </x:c>
      <x:c r="N26" s="15" t="str"/>
      <x:c r="O26" s="15" t="str"/>
      <x:c r="P26" s="15" t="str"/>
      <x:c r="Q26" s="15" t="str"/>
      <x:c r="R26" s="15" t="str">
        <x:v>Arithmetic predicates and bounded until</x:v>
      </x:c>
      <x:c r="S26" s="15" t="n">
        <x:v>5</x:v>
      </x:c>
      <x:c r="T26" s="15" t="str">
        <x:v>G,U,+</x:v>
      </x:c>
      <x:c r="U26" s="15" t="str">
        <x:v>future_stl</x:v>
      </x:c>
      <x:c r="V26" s="15" t="str"/>
      <x:c r="W26" s="15" t="str"/>
    </x:row>
    <x:row r="27">
      <x:c r="A27" s="15" t="str">
        <x:v>NLSTL150-026</x:v>
      </x:c>
      <x:c r="B27" s="15" t="str">
        <x:v>paper_challenge</x:v>
      </x:c>
      <x:c r="C27" s="15" t="str">
        <x:v>DeepSTL</x:v>
      </x:c>
      <x:c r="D27" s="15" t="str">
        <x:v>limitation_probe</x:v>
      </x:c>
      <x:c r="E27" s="15" t="str">
        <x:v>limitation_constructed</x:v>
      </x:c>
      <x:c r="F27" s="15" t="str">
        <x:v>Constructed from restrictions summarized in uploaded PDF pp.2–3</x:v>
      </x:c>
      <x:c r="G27" s="15" t="str">
        <x:v>https://arxiv.org/abs/2109.10294</x:v>
      </x:c>
      <x:c r="H27" s="15" t="str">
        <x:v>robot control</x:v>
      </x:c>
      <x:c r="I27" s="15" t="str">
        <x:v>translate</x:v>
      </x:c>
      <x:c r="J27" s="15" t="str">
        <x:v>The measured speed must always stay within 2 units of the commanded speed.</x:v>
      </x:c>
      <x:c r="K27" s="15" t="str">
        <x:v>G(abs(measured_speed - commanded_speed) &lt;= 2)</x:v>
      </x:c>
      <x:c r="L27" s="15" t="str"/>
      <x:c r="M27" s="15" t="str">
        <x:v>none</x:v>
      </x:c>
      <x:c r="N27" s="15" t="str"/>
      <x:c r="O27" s="15" t="str"/>
      <x:c r="P27" s="15" t="str"/>
      <x:c r="Q27" s="15" t="str"/>
      <x:c r="R27" s="15" t="str">
        <x:v>Function-valued predicate not present in basic templates</x:v>
      </x:c>
      <x:c r="S27" s="15" t="n">
        <x:v>4</x:v>
      </x:c>
      <x:c r="T27" s="15" t="str">
        <x:v>G,abs</x:v>
      </x:c>
      <x:c r="U27" s="15" t="str">
        <x:v>future_stl</x:v>
      </x:c>
      <x:c r="V27" s="15" t="str"/>
      <x:c r="W27" s="15" t="str"/>
    </x:row>
    <x:row r="28">
      <x:c r="A28" s="15" t="str">
        <x:v>NLSTL150-027</x:v>
      </x:c>
      <x:c r="B28" s="15" t="str">
        <x:v>paper_challenge</x:v>
      </x:c>
      <x:c r="C28" s="15" t="str">
        <x:v>DeepSTL</x:v>
      </x:c>
      <x:c r="D28" s="15" t="str">
        <x:v>limitation_probe</x:v>
      </x:c>
      <x:c r="E28" s="15" t="str">
        <x:v>limitation_constructed</x:v>
      </x:c>
      <x:c r="F28" s="15" t="str">
        <x:v>Constructed from restrictions summarized in uploaded PDF pp.2–3</x:v>
      </x:c>
      <x:c r="G28" s="15" t="str">
        <x:v>https://arxiv.org/abs/2109.10294</x:v>
      </x:c>
      <x:c r="H28" s="15" t="str">
        <x:v>thermal</x:v>
      </x:c>
      <x:c r="I28" s="15" t="str">
        <x:v>translate</x:v>
      </x:c>
      <x:c r="J28" s="15" t="str">
        <x:v>Whenever temperature leaves the interval 20 to 30, it must return to that interval within 6 seconds and stay there for 4 seconds.</x:v>
      </x:c>
      <x:c r="K28" s="15" t="str">
        <x:v>G((!((temperature &gt;= 20) &amp; (temperature &lt;= 30))) -&gt; F[0,6](G[0,4]((temperature &gt;= 20) &amp; (temperature &lt;= 30))))</x:v>
      </x:c>
      <x:c r="L28" s="15" t="str"/>
      <x:c r="M28" s="15" t="str">
        <x:v>none</x:v>
      </x:c>
      <x:c r="N28" s="15" t="str"/>
      <x:c r="O28" s="15" t="str"/>
      <x:c r="P28" s="15" t="str"/>
      <x:c r="Q28" s="15" t="str"/>
      <x:c r="R28" s="15" t="str">
        <x:v>Negated ranges plus nested recovery</x:v>
      </x:c>
      <x:c r="S28" s="15" t="n">
        <x:v>5</x:v>
      </x:c>
      <x:c r="T28" s="15" t="str">
        <x:v>G,F,!,&amp;,-&gt;</x:v>
      </x:c>
      <x:c r="U28" s="15" t="str">
        <x:v>future_stl</x:v>
      </x:c>
      <x:c r="V28" s="15" t="str"/>
      <x:c r="W28" s="15" t="str"/>
    </x:row>
    <x:row r="29">
      <x:c r="A29" s="15" t="str">
        <x:v>NLSTL150-028</x:v>
      </x:c>
      <x:c r="B29" s="15" t="str">
        <x:v>paper_challenge</x:v>
      </x:c>
      <x:c r="C29" s="15" t="str">
        <x:v>DeepSTL</x:v>
      </x:c>
      <x:c r="D29" s="15" t="str">
        <x:v>limitation_probe</x:v>
      </x:c>
      <x:c r="E29" s="15" t="str">
        <x:v>limitation_constructed</x:v>
      </x:c>
      <x:c r="F29" s="15" t="str">
        <x:v>Constructed from restrictions summarized in uploaded PDF pp.2–3</x:v>
      </x:c>
      <x:c r="G29" s="15" t="str">
        <x:v>https://arxiv.org/abs/2109.10294</x:v>
      </x:c>
      <x:c r="H29" s="15" t="str">
        <x:v>monitoring</x:v>
      </x:c>
      <x:c r="I29" s="15" t="str">
        <x:v>translate</x:v>
      </x:c>
      <x:c r="J29" s="15" t="str">
        <x:v>At every time, a heartbeat must occur within the next 2 seconds.</x:v>
      </x:c>
      <x:c r="K29" s="15" t="str">
        <x:v>G(F[0,2](heartbeat = 1))</x:v>
      </x:c>
      <x:c r="L29" s="15" t="str"/>
      <x:c r="M29" s="15" t="str">
        <x:v>none</x:v>
      </x:c>
      <x:c r="N29" s="15" t="str"/>
      <x:c r="O29" s="15" t="str"/>
      <x:c r="P29" s="15" t="str"/>
      <x:c r="Q29" s="15" t="str"/>
      <x:c r="R29" s="15" t="str">
        <x:v>Recurrence category with lower support</x:v>
      </x:c>
      <x:c r="S29" s="15" t="n">
        <x:v>4</x:v>
      </x:c>
      <x:c r="T29" s="15" t="str">
        <x:v>G,F</x:v>
      </x:c>
      <x:c r="U29" s="15" t="str">
        <x:v>future_stl</x:v>
      </x:c>
      <x:c r="V29" s="15" t="str"/>
      <x:c r="W29" s="15" t="str"/>
    </x:row>
    <x:row r="30">
      <x:c r="A30" s="15" t="str">
        <x:v>NLSTL150-029</x:v>
      </x:c>
      <x:c r="B30" s="15" t="str">
        <x:v>paper_challenge</x:v>
      </x:c>
      <x:c r="C30" s="15" t="str">
        <x:v>DeepSTL</x:v>
      </x:c>
      <x:c r="D30" s="15" t="str">
        <x:v>limitation_probe</x:v>
      </x:c>
      <x:c r="E30" s="15" t="str">
        <x:v>limitation_constructed</x:v>
      </x:c>
      <x:c r="F30" s="15" t="str">
        <x:v>Constructed from restrictions summarized in uploaded PDF pp.2–3</x:v>
      </x:c>
      <x:c r="G30" s="15" t="str">
        <x:v>https://arxiv.org/abs/2109.10294</x:v>
      </x:c>
      <x:c r="H30" s="15" t="str">
        <x:v>control</x:v>
      </x:c>
      <x:c r="I30" s="15" t="str">
        <x:v>translate</x:v>
      </x:c>
      <x:c r="J30" s="15" t="str">
        <x:v>Within 15 seconds, tracking error must fall below 0.05 and remain below it forever.</x:v>
      </x:c>
      <x:c r="K30" s="15" t="str">
        <x:v>F[0,15](G(tracking_error &lt; 0.05))</x:v>
      </x:c>
      <x:c r="L30" s="15" t="str"/>
      <x:c r="M30" s="15" t="str">
        <x:v>none</x:v>
      </x:c>
      <x:c r="N30" s="15" t="str"/>
      <x:c r="O30" s="15" t="str"/>
      <x:c r="P30" s="15" t="str"/>
      <x:c r="Q30" s="15" t="str"/>
      <x:c r="R30" s="15" t="str">
        <x:v>Stabilization category with lower support</x:v>
      </x:c>
      <x:c r="S30" s="15" t="n">
        <x:v>4</x:v>
      </x:c>
      <x:c r="T30" s="15" t="str">
        <x:v>F,G</x:v>
      </x:c>
      <x:c r="U30" s="15" t="str">
        <x:v>future_stl</x:v>
      </x:c>
      <x:c r="V30" s="15" t="str"/>
      <x:c r="W30" s="15" t="str"/>
    </x:row>
    <x:row r="31">
      <x:c r="A31" s="15" t="str">
        <x:v>NLSTL150-030</x:v>
      </x:c>
      <x:c r="B31" s="15" t="str">
        <x:v>paper_challenge</x:v>
      </x:c>
      <x:c r="C31" s="15" t="str">
        <x:v>DeepSTL</x:v>
      </x:c>
      <x:c r="D31" s="15" t="str">
        <x:v>limitation_probe</x:v>
      </x:c>
      <x:c r="E31" s="15" t="str">
        <x:v>limitation_constructed</x:v>
      </x:c>
      <x:c r="F31" s="15" t="str">
        <x:v>Constructed from restrictions summarized in uploaded PDF pp.2–3</x:v>
      </x:c>
      <x:c r="G31" s="15" t="str">
        <x:v>https://arxiv.org/abs/2109.10294</x:v>
      </x:c>
      <x:c r="H31" s="15" t="str">
        <x:v>multi-robot</x:v>
      </x:c>
      <x:c r="I31" s="15" t="str">
        <x:v>translate</x:v>
      </x:c>
      <x:c r="J31" s="15" t="str">
        <x:v>Every goal region must be visited by at least one of the three robots before 90 seconds while all robot pairs remain at least 1 metre apart.</x:v>
      </x:c>
      <x:c r="K31" s="15" t="str">
        <x:v>(F[0,90](goal_1_r1 | goal_1_r2 | goal_1_r3) &amp; F[0,90](goal_2_r1 | goal_2_r2 | goal_2_r3)) &amp; G((d12 &gt;= 1) &amp; (d13 &gt;= 1) &amp; (d23 &gt;= 1))</x:v>
      </x:c>
      <x:c r="L31" s="15" t="str"/>
      <x:c r="M31" s="15" t="str">
        <x:v>none</x:v>
      </x:c>
      <x:c r="N31" s="15" t="str"/>
      <x:c r="O31" s="15" t="str"/>
      <x:c r="P31" s="15" t="str"/>
      <x:c r="Q31" s="15" t="str"/>
      <x:c r="R31" s="15" t="str">
        <x:v>Spatial predicates, multiple agents, and large formula structure</x:v>
      </x:c>
      <x:c r="S31" s="15" t="n">
        <x:v>5</x:v>
      </x:c>
      <x:c r="T31" s="15" t="str">
        <x:v>F,G,|,&amp;</x:v>
      </x:c>
      <x:c r="U31" s="15" t="str">
        <x:v>future_stl</x:v>
      </x:c>
      <x:c r="V31" s="15" t="str"/>
      <x:c r="W31" s="15" t="str"/>
    </x:row>
    <x:row r="32">
      <x:c r="A32" s="15" t="str">
        <x:v>NLSTL150-031</x:v>
      </x:c>
      <x:c r="B32" s="15" t="str">
        <x:v>paper_supported</x:v>
      </x:c>
      <x:c r="C32" s="15" t="str">
        <x:v>STL-DivEn/KGST</x:v>
      </x:c>
      <x:c r="D32" s="15" t="str">
        <x:v>expected_strength</x:v>
      </x:c>
      <x:c r="E32" s="15" t="str">
        <x:v>paper_explicit</x:v>
      </x:c>
      <x:c r="F32" s="15" t="str">
        <x:v>Uploaded PDF: NL-STL Examples.pdf, p.2, Case 1</x:v>
      </x:c>
      <x:c r="G32" s="15" t="str">
        <x:v>https://arxiv.org/abs/2505.20658</x:v>
      </x:c>
      <x:c r="H32" s="15" t="str">
        <x:v>generic signal</x:v>
      </x:c>
      <x:c r="I32" s="15" t="str">
        <x:v>translate</x:v>
      </x:c>
      <x:c r="J32" s="15" t="str">
        <x:v>Between time 20 and 50, the sum of signals x1 and x2 must not exceed 1.5, unless within 2 to 4 time units later x3 exceeds 2.</x:v>
      </x:c>
      <x:c r="K32" s="15" t="str">
        <x:v>G[20,50](((x1 + x2) &lt;= 1.5) U[2,4](x3 &gt; 2))</x:v>
      </x:c>
      <x:c r="L32" s="15" t="str"/>
      <x:c r="M32" s="15" t="str">
        <x:v>none</x:v>
      </x:c>
      <x:c r="N32" s="15" t="str"/>
      <x:c r="O32" s="15" t="str"/>
      <x:c r="P32" s="15" t="str"/>
      <x:c r="Q32" s="15" t="str"/>
      <x:c r="R32" s="15" t="str"/>
      <x:c r="S32" s="15" t="n">
        <x:v>5</x:v>
      </x:c>
      <x:c r="T32" s="15" t="str">
        <x:v>G,U,+</x:v>
      </x:c>
      <x:c r="U32" s="15" t="str">
        <x:v>future_stl</x:v>
      </x:c>
      <x:c r="V32" s="15" t="str">
        <x:v>x1,x2,x3 numeric</x:v>
      </x:c>
      <x:c r="W32" s="15" t="str">
        <x:v>Canonicalized from the ground-truth formula shown in the uploaded example.</x:v>
      </x:c>
    </x:row>
    <x:row r="33">
      <x:c r="A33" s="15" t="str">
        <x:v>NLSTL150-032</x:v>
      </x:c>
      <x:c r="B33" s="15" t="str">
        <x:v>paper_supported</x:v>
      </x:c>
      <x:c r="C33" s="15" t="str">
        <x:v>STL-DivEn/KGST</x:v>
      </x:c>
      <x:c r="D33" s="15" t="str">
        <x:v>expected_strength</x:v>
      </x:c>
      <x:c r="E33" s="15" t="str">
        <x:v>paper_explicit</x:v>
      </x:c>
      <x:c r="F33" s="15" t="str">
        <x:v>Uploaded PDF: NL-STL Examples.pdf, p.2, Case 2</x:v>
      </x:c>
      <x:c r="G33" s="15" t="str">
        <x:v>https://arxiv.org/abs/2505.20658</x:v>
      </x:c>
      <x:c r="H33" s="15" t="str">
        <x:v>generic signal</x:v>
      </x:c>
      <x:c r="I33" s="15" t="str">
        <x:v>translate</x:v>
      </x:c>
      <x:c r="J33" s="15" t="str">
        <x:v>Whenever z2 is below -0.5 or above 0.5 during the first 500 time units, z1 must exceed 1 within 200 time units and stay above 1 for at least 50 time units.</x:v>
      </x:c>
      <x:c r="K33" s="15" t="str">
        <x:v>G[0,500]((abs(z2) &gt; 0.5) -&gt; F[0,200](G[0,50](z1 &gt; 1)))</x:v>
      </x:c>
      <x:c r="L33" s="15" t="str"/>
      <x:c r="M33" s="15" t="str">
        <x:v>none</x:v>
      </x:c>
      <x:c r="N33" s="15" t="str"/>
      <x:c r="O33" s="15" t="str"/>
      <x:c r="P33" s="15" t="str"/>
      <x:c r="Q33" s="15" t="str"/>
      <x:c r="R33" s="15" t="str"/>
      <x:c r="S33" s="15" t="n">
        <x:v>5</x:v>
      </x:c>
      <x:c r="T33" s="15" t="str">
        <x:v>G,F,abs,-&gt;</x:v>
      </x:c>
      <x:c r="U33" s="15" t="str">
        <x:v>future_stl</x:v>
      </x:c>
      <x:c r="V33" s="15" t="str">
        <x:v>z1,z2 numeric</x:v>
      </x:c>
      <x:c r="W33" s="15" t="str"/>
    </x:row>
    <x:row r="34">
      <x:c r="A34" s="15" t="str">
        <x:v>NLSTL150-033</x:v>
      </x:c>
      <x:c r="B34" s="15" t="str">
        <x:v>paper_supported</x:v>
      </x:c>
      <x:c r="C34" s="15" t="str">
        <x:v>STL-DivEn/KGST</x:v>
      </x:c>
      <x:c r="D34" s="15" t="str">
        <x:v>expected_strength</x:v>
      </x:c>
      <x:c r="E34" s="15" t="str">
        <x:v>paper_explicit</x:v>
      </x:c>
      <x:c r="F34" s="15" t="str">
        <x:v>Paper introduction example</x:v>
      </x:c>
      <x:c r="G34" s="15" t="str">
        <x:v>https://arxiv.org/abs/2505.20658</x:v>
      </x:c>
      <x:c r="H34" s="15" t="str">
        <x:v>robotics</x:v>
      </x:c>
      <x:c r="I34" s="15" t="str">
        <x:v>translate</x:v>
      </x:c>
      <x:c r="J34" s="15" t="str">
        <x:v>Whenever the robot detects an obstacle within 1 metre during the first 60 seconds, it must move away and remain at least 1.5 metres from the obstacle for 30 consecutive seconds within the next 50 seconds.</x:v>
      </x:c>
      <x:c r="K34" s="15" t="str">
        <x:v>G[0,60]((d_obs &lt; 1) -&gt; F[0,50](G[0,30](d_obs &gt;= 1.5)))</x:v>
      </x:c>
      <x:c r="L34" s="15" t="str"/>
      <x:c r="M34" s="15" t="str">
        <x:v>none</x:v>
      </x:c>
      <x:c r="N34" s="15" t="str"/>
      <x:c r="O34" s="15" t="str"/>
      <x:c r="P34" s="15" t="str"/>
      <x:c r="Q34" s="15" t="str"/>
      <x:c r="R34" s="15" t="str"/>
      <x:c r="S34" s="15" t="n">
        <x:v>5</x:v>
      </x:c>
      <x:c r="T34" s="15" t="str">
        <x:v>G,F,-&gt;</x:v>
      </x:c>
      <x:c r="U34" s="15" t="str">
        <x:v>future_stl</x:v>
      </x:c>
      <x:c r="V34" s="15" t="str">
        <x:v>d_obs metres</x:v>
      </x:c>
      <x:c r="W34" s="15" t="str"/>
    </x:row>
    <x:row r="35">
      <x:c r="A35" s="15" t="str">
        <x:v>NLSTL150-034</x:v>
      </x:c>
      <x:c r="B35" s="15" t="str">
        <x:v>paper_supported</x:v>
      </x:c>
      <x:c r="C35" s="15" t="str">
        <x:v>STL-DivEn/KGST</x:v>
      </x:c>
      <x:c r="D35" s="15" t="str">
        <x:v>expected_strength</x:v>
      </x:c>
      <x:c r="E35" s="15" t="str">
        <x:v>paper_explicit</x:v>
      </x:c>
      <x:c r="F35" s="15" t="str">
        <x:v>Paper STL illustration / automatic-transmission example</x:v>
      </x:c>
      <x:c r="G35" s="15" t="str">
        <x:v>https://arxiv.org/abs/2505.20658</x:v>
      </x:c>
      <x:c r="H35" s="15" t="str">
        <x:v>automotive</x:v>
      </x:c>
      <x:c r="I35" s="15" t="str">
        <x:v>translate</x:v>
      </x:c>
      <x:c r="J35" s="15" t="str">
        <x:v>During the next 27 time units, whenever speed is greater than 50, rpm must become lower than 3000 within 3 time units.</x:v>
      </x:c>
      <x:c r="K35" s="15" t="str">
        <x:v>G[0,27]((speed &gt; 50) -&gt; F[0,3](rpm &lt; 3000))</x:v>
      </x:c>
      <x:c r="L35" s="15" t="str"/>
      <x:c r="M35" s="15" t="str">
        <x:v>none</x:v>
      </x:c>
      <x:c r="N35" s="15" t="str"/>
      <x:c r="O35" s="15" t="str"/>
      <x:c r="P35" s="15" t="str"/>
      <x:c r="Q35" s="15" t="str"/>
      <x:c r="R35" s="15" t="str"/>
      <x:c r="S35" s="15" t="n">
        <x:v>3</x:v>
      </x:c>
      <x:c r="T35" s="15" t="str">
        <x:v>G,F,-&gt;</x:v>
      </x:c>
      <x:c r="U35" s="15" t="str">
        <x:v>future_stl</x:v>
      </x:c>
      <x:c r="V35" s="15" t="str">
        <x:v>speed,rpm</x:v>
      </x:c>
      <x:c r="W35" s="15" t="str"/>
    </x:row>
    <x:row r="36">
      <x:c r="A36" s="15" t="str">
        <x:v>NLSTL150-035</x:v>
      </x:c>
      <x:c r="B36" s="15" t="str">
        <x:v>paper_supported</x:v>
      </x:c>
      <x:c r="C36" s="15" t="str">
        <x:v>STL-DivEn/KGST</x:v>
      </x:c>
      <x:c r="D36" s="15" t="str">
        <x:v>expected_strength</x:v>
      </x:c>
      <x:c r="E36" s="15" t="str">
        <x:v>paper_aligned</x:v>
      </x:c>
      <x:c r="F36" s="15" t="str">
        <x:v>Aligned with diverse nested seed set</x:v>
      </x:c>
      <x:c r="G36" s="15" t="str">
        <x:v>https://arxiv.org/abs/2505.20658</x:v>
      </x:c>
      <x:c r="H36" s="15" t="str">
        <x:v>electronics</x:v>
      </x:c>
      <x:c r="I36" s="15" t="str">
        <x:v>translate</x:v>
      </x:c>
      <x:c r="J36" s="15" t="str">
        <x:v>If voltage rises above 12, current must fall below 3 within 2 seconds and remain below 3 for the following 5 seconds.</x:v>
      </x:c>
      <x:c r="K36" s="15" t="str">
        <x:v>G((voltage &gt; 12) -&gt; F[0,2](G[0,5](current &lt; 3)))</x:v>
      </x:c>
      <x:c r="L36" s="15" t="str"/>
      <x:c r="M36" s="15" t="str">
        <x:v>none</x:v>
      </x:c>
      <x:c r="N36" s="15" t="str"/>
      <x:c r="O36" s="15" t="str"/>
      <x:c r="P36" s="15" t="str"/>
      <x:c r="Q36" s="15" t="str"/>
      <x:c r="R36" s="15" t="str"/>
      <x:c r="S36" s="15" t="n">
        <x:v>4</x:v>
      </x:c>
      <x:c r="T36" s="15" t="str">
        <x:v>G,F,-&gt;</x:v>
      </x:c>
      <x:c r="U36" s="15" t="str">
        <x:v>future_stl</x:v>
      </x:c>
      <x:c r="V36" s="15" t="str">
        <x:v>voltage,current</x:v>
      </x:c>
      <x:c r="W36" s="15" t="str"/>
    </x:row>
    <x:row r="37">
      <x:c r="A37" s="15" t="str">
        <x:v>NLSTL150-036</x:v>
      </x:c>
      <x:c r="B37" s="15" t="str">
        <x:v>paper_challenge</x:v>
      </x:c>
      <x:c r="C37" s="15" t="str">
        <x:v>STL-DivEn/KGST</x:v>
      </x:c>
      <x:c r="D37" s="15" t="str">
        <x:v>limitation_probe</x:v>
      </x:c>
      <x:c r="E37" s="15" t="str">
        <x:v>limitation_constructed</x:v>
      </x:c>
      <x:c r="F37" s="15" t="str">
        <x:v>Constructed from KGST/STL-DivEn error modes and paper analysis</x:v>
      </x:c>
      <x:c r="G37" s="15" t="str">
        <x:v>https://arxiv.org/abs/2505.20658</x:v>
      </x:c>
      <x:c r="H37" s="15" t="str">
        <x:v>industrial</x:v>
      </x:c>
      <x:c r="I37" s="15" t="str">
        <x:v>clarify_then_translate</x:v>
      </x:c>
      <x:c r="J37" s="15" t="str">
        <x:v>During the next 30 seconds, if pressure exceeds 10, the valve must stay open for 5 seconds.</x:v>
      </x:c>
      <x:c r="K37" s="15" t="str"/>
      <x:c r="L37" s="15" t="str"/>
      <x:c r="M37" s="15" t="str">
        <x:v>semantic_ambiguity</x:v>
      </x:c>
      <x:c r="N37" s="15" t="str">
        <x:v>Does the 30-second interval constrain when pressure may exceed 10, or is it the duration for which the valve must remain open?</x:v>
      </x:c>
      <x:c r="O37" s="15" t="str">
        <x:v>It constrains the trigger window; the valve remains open for 5 seconds after each trigger.</x:v>
      </x:c>
      <x:c r="P37" s="15" t="str">
        <x:v>During the next 30 seconds, whenever pressure exceeds 10, the valve must remain open for 5 seconds.</x:v>
      </x:c>
      <x:c r="Q37" s="15" t="str">
        <x:v>G[0,30]((pressure &gt; 10) -&gt; G[0,5](valve_open = 1))</x:v>
      </x:c>
      <x:c r="R37" s="15" t="str">
        <x:v>Scope/attachment ambiguity can survive generate–refine</x:v>
      </x:c>
      <x:c r="S37" s="15" t="n">
        <x:v>4</x:v>
      </x:c>
      <x:c r="T37" s="15" t="str">
        <x:v>various</x:v>
      </x:c>
      <x:c r="U37" s="15" t="str">
        <x:v>future_stl</x:v>
      </x:c>
      <x:c r="V37" s="15" t="str"/>
      <x:c r="W37" s="15" t="str"/>
    </x:row>
    <x:row r="38">
      <x:c r="A38" s="15" t="str">
        <x:v>NLSTL150-037</x:v>
      </x:c>
      <x:c r="B38" s="15" t="str">
        <x:v>paper_challenge</x:v>
      </x:c>
      <x:c r="C38" s="15" t="str">
        <x:v>STL-DivEn/KGST</x:v>
      </x:c>
      <x:c r="D38" s="15" t="str">
        <x:v>limitation_probe</x:v>
      </x:c>
      <x:c r="E38" s="15" t="str">
        <x:v>limitation_constructed</x:v>
      </x:c>
      <x:c r="F38" s="15" t="str">
        <x:v>Constructed from KGST/STL-DivEn error modes and paper analysis</x:v>
      </x:c>
      <x:c r="G38" s="15" t="str">
        <x:v>https://arxiv.org/abs/2505.20658</x:v>
      </x:c>
      <x:c r="H38" s="15" t="str">
        <x:v>protocol</x:v>
      </x:c>
      <x:c r="I38" s="15" t="str">
        <x:v>translate</x:v>
      </x:c>
      <x:c r="J38" s="15" t="str">
        <x:v>Whenever a request occurs during the first 100 seconds, a response must arrive within 4 seconds.</x:v>
      </x:c>
      <x:c r="K38" s="15" t="str">
        <x:v>G[0,100](rise(request = 1) -&gt; F[0,4](response = 1))</x:v>
      </x:c>
      <x:c r="L38" s="15" t="str"/>
      <x:c r="M38" s="15" t="str">
        <x:v>none</x:v>
      </x:c>
      <x:c r="N38" s="15" t="str"/>
      <x:c r="O38" s="15" t="str"/>
      <x:c r="P38" s="15" t="str"/>
      <x:c r="Q38" s="15" t="str"/>
      <x:c r="R38" s="15" t="str">
        <x:v>Interval placement on outer versus inner operator</x:v>
      </x:c>
      <x:c r="S38" s="15" t="n">
        <x:v>4</x:v>
      </x:c>
      <x:c r="T38" s="15" t="str">
        <x:v>G,F,rise,-&gt;</x:v>
      </x:c>
      <x:c r="U38" s="15" t="str">
        <x:v>future_stl</x:v>
      </x:c>
      <x:c r="V38" s="15" t="str"/>
      <x:c r="W38" s="15" t="str"/>
    </x:row>
    <x:row r="39">
      <x:c r="A39" s="15" t="str">
        <x:v>NLSTL150-038</x:v>
      </x:c>
      <x:c r="B39" s="15" t="str">
        <x:v>paper_challenge</x:v>
      </x:c>
      <x:c r="C39" s="15" t="str">
        <x:v>STL-DivEn/KGST</x:v>
      </x:c>
      <x:c r="D39" s="15" t="str">
        <x:v>limitation_probe</x:v>
      </x:c>
      <x:c r="E39" s="15" t="str">
        <x:v>limitation_constructed</x:v>
      </x:c>
      <x:c r="F39" s="15" t="str">
        <x:v>Constructed from KGST/STL-DivEn error modes and paper analysis</x:v>
      </x:c>
      <x:c r="G39" s="15" t="str">
        <x:v>https://arxiv.org/abs/2505.20658</x:v>
      </x:c>
      <x:c r="H39" s="15" t="str">
        <x:v>protocol</x:v>
      </x:c>
      <x:c r="I39" s="15" t="str">
        <x:v>translate</x:v>
      </x:c>
      <x:c r="J39" s="15" t="str">
        <x:v>A grant may be issued only if a request occurred within the previous 5 seconds.</x:v>
      </x:c>
      <x:c r="K39" s="15" t="str">
        <x:v>G((grant = 1) -&gt; O[0,5](request = 1))</x:v>
      </x:c>
      <x:c r="L39" s="15" t="str"/>
      <x:c r="M39" s="15" t="str">
        <x:v>none</x:v>
      </x:c>
      <x:c r="N39" s="15" t="str"/>
      <x:c r="O39" s="15" t="str"/>
      <x:c r="P39" s="15" t="str"/>
      <x:c r="Q39" s="15" t="str"/>
      <x:c r="R39" s="15" t="str">
        <x:v>Reversed implication and past dependency</x:v>
      </x:c>
      <x:c r="S39" s="15" t="n">
        <x:v>5</x:v>
      </x:c>
      <x:c r="T39" s="15" t="str">
        <x:v>G,O,-&gt;</x:v>
      </x:c>
      <x:c r="U39" s="15" t="str">
        <x:v>future_stl</x:v>
      </x:c>
      <x:c r="V39" s="15" t="str"/>
      <x:c r="W39" s="15" t="str"/>
    </x:row>
    <x:row r="40">
      <x:c r="A40" s="15" t="str">
        <x:v>NLSTL150-039</x:v>
      </x:c>
      <x:c r="B40" s="15" t="str">
        <x:v>paper_challenge</x:v>
      </x:c>
      <x:c r="C40" s="15" t="str">
        <x:v>STL-DivEn/KGST</x:v>
      </x:c>
      <x:c r="D40" s="15" t="str">
        <x:v>limitation_probe</x:v>
      </x:c>
      <x:c r="E40" s="15" t="str">
        <x:v>limitation_constructed</x:v>
      </x:c>
      <x:c r="F40" s="15" t="str">
        <x:v>Constructed from KGST/STL-DivEn error modes and paper analysis</x:v>
      </x:c>
      <x:c r="G40" s="15" t="str">
        <x:v>https://arxiv.org/abs/2505.20658</x:v>
      </x:c>
      <x:c r="H40" s="15" t="str">
        <x:v>automotive</x:v>
      </x:c>
      <x:c r="I40" s="15" t="str">
        <x:v>translate</x:v>
      </x:c>
      <x:c r="J40" s="15" t="str">
        <x:v>The emergency brake must engage when time-to-collision drops below 1.5 seconds.</x:v>
      </x:c>
      <x:c r="K40" s="15" t="str">
        <x:v>G((ttc &lt; 1.5) -&gt; (emergency_brake = 1))</x:v>
      </x:c>
      <x:c r="L40" s="15" t="str"/>
      <x:c r="M40" s="15" t="str">
        <x:v>none</x:v>
      </x:c>
      <x:c r="N40" s="15" t="str"/>
      <x:c r="O40" s="15" t="str"/>
      <x:c r="P40" s="15" t="str"/>
      <x:c r="Q40" s="15" t="str"/>
      <x:c r="R40" s="15" t="str">
        <x:v>Comparator direction and safety semantics</x:v>
      </x:c>
      <x:c r="S40" s="15" t="n">
        <x:v>3</x:v>
      </x:c>
      <x:c r="T40" s="15" t="str">
        <x:v>G,-&gt;</x:v>
      </x:c>
      <x:c r="U40" s="15" t="str">
        <x:v>future_stl</x:v>
      </x:c>
      <x:c r="V40" s="15" t="str"/>
      <x:c r="W40" s="15" t="str"/>
    </x:row>
    <x:row r="41">
      <x:c r="A41" s="15" t="str">
        <x:v>NLSTL150-040</x:v>
      </x:c>
      <x:c r="B41" s="15" t="str">
        <x:v>paper_challenge</x:v>
      </x:c>
      <x:c r="C41" s="15" t="str">
        <x:v>STL-DivEn/KGST</x:v>
      </x:c>
      <x:c r="D41" s="15" t="str">
        <x:v>limitation_probe</x:v>
      </x:c>
      <x:c r="E41" s="15" t="str">
        <x:v>limitation_constructed</x:v>
      </x:c>
      <x:c r="F41" s="15" t="str">
        <x:v>Constructed from KGST/STL-DivEn error modes and paper analysis</x:v>
      </x:c>
      <x:c r="G41" s="15" t="str">
        <x:v>https://arxiv.org/abs/2505.20658</x:v>
      </x:c>
      <x:c r="H41" s="15" t="str">
        <x:v>industrial</x:v>
      </x:c>
      <x:c r="I41" s="15" t="str">
        <x:v>translate</x:v>
      </x:c>
      <x:c r="J41" s="15" t="str">
        <x:v>Shutdown is required if pressure exceeds 10, or if temperature exceeds 90 while the fan is off.</x:v>
      </x:c>
      <x:c r="K41" s="15" t="str">
        <x:v>G(((pressure &gt; 10) | ((temperature &gt; 90) &amp; (fan = 0))) -&gt; (shutdown = 1))</x:v>
      </x:c>
      <x:c r="L41" s="15" t="str"/>
      <x:c r="M41" s="15" t="str">
        <x:v>none</x:v>
      </x:c>
      <x:c r="N41" s="15" t="str"/>
      <x:c r="O41" s="15" t="str"/>
      <x:c r="P41" s="15" t="str"/>
      <x:c r="Q41" s="15" t="str"/>
      <x:c r="R41" s="15" t="str">
        <x:v>Conjunction/disjunction precedence</x:v>
      </x:c>
      <x:c r="S41" s="15" t="n">
        <x:v>4</x:v>
      </x:c>
      <x:c r="T41" s="15" t="str">
        <x:v>G,|,&amp;,-&gt;</x:v>
      </x:c>
      <x:c r="U41" s="15" t="str">
        <x:v>future_stl</x:v>
      </x:c>
      <x:c r="V41" s="15" t="str"/>
      <x:c r="W41" s="15" t="str"/>
    </x:row>
    <x:row r="42">
      <x:c r="A42" s="15" t="str">
        <x:v>NLSTL150-041</x:v>
      </x:c>
      <x:c r="B42" s="15" t="str">
        <x:v>paper_challenge</x:v>
      </x:c>
      <x:c r="C42" s="15" t="str">
        <x:v>STL-DivEn/KGST</x:v>
      </x:c>
      <x:c r="D42" s="15" t="str">
        <x:v>limitation_probe</x:v>
      </x:c>
      <x:c r="E42" s="15" t="str">
        <x:v>limitation_constructed</x:v>
      </x:c>
      <x:c r="F42" s="15" t="str">
        <x:v>Constructed from KGST/STL-DivEn error modes and paper analysis</x:v>
      </x:c>
      <x:c r="G42" s="15" t="str">
        <x:v>https://arxiv.org/abs/2505.20658</x:v>
      </x:c>
      <x:c r="H42" s="15" t="str">
        <x:v>industrial</x:v>
      </x:c>
      <x:c r="I42" s="15" t="str">
        <x:v>translate</x:v>
      </x:c>
      <x:c r="J42" s="15" t="str">
        <x:v>The pump must remain on until pressure reaches 8 within 20 seconds.</x:v>
      </x:c>
      <x:c r="K42" s="15" t="str">
        <x:v>(pump_on = 1) U[0,20] (pressure &gt;= 8)</x:v>
      </x:c>
      <x:c r="L42" s="15" t="str"/>
      <x:c r="M42" s="15" t="str">
        <x:v>none</x:v>
      </x:c>
      <x:c r="N42" s="15" t="str"/>
      <x:c r="O42" s="15" t="str"/>
      <x:c r="P42" s="15" t="str"/>
      <x:c r="Q42" s="15" t="str"/>
      <x:c r="R42" s="15" t="str">
        <x:v>Until operand order</x:v>
      </x:c>
      <x:c r="S42" s="15" t="n">
        <x:v>4</x:v>
      </x:c>
      <x:c r="T42" s="15" t="str">
        <x:v>U</x:v>
      </x:c>
      <x:c r="U42" s="15" t="str">
        <x:v>future_stl</x:v>
      </x:c>
      <x:c r="V42" s="15" t="str"/>
      <x:c r="W42" s="15" t="str"/>
    </x:row>
    <x:row r="43">
      <x:c r="A43" s="15" t="str">
        <x:v>NLSTL150-042</x:v>
      </x:c>
      <x:c r="B43" s="15" t="str">
        <x:v>paper_challenge</x:v>
      </x:c>
      <x:c r="C43" s="15" t="str">
        <x:v>STL-DivEn/KGST</x:v>
      </x:c>
      <x:c r="D43" s="15" t="str">
        <x:v>limitation_probe</x:v>
      </x:c>
      <x:c r="E43" s="15" t="str">
        <x:v>limitation_constructed</x:v>
      </x:c>
      <x:c r="F43" s="15" t="str">
        <x:v>Constructed from KGST/STL-DivEn error modes and paper analysis</x:v>
      </x:c>
      <x:c r="G43" s="15" t="str">
        <x:v>https://arxiv.org/abs/2505.20658</x:v>
      </x:c>
      <x:c r="H43" s="15" t="str">
        <x:v>control</x:v>
      </x:c>
      <x:c r="I43" s="15" t="str">
        <x:v>translate</x:v>
      </x:c>
      <x:c r="J43" s="15" t="str">
        <x:v>Within 10 seconds, the tracking error must begin remaining below 0.1 for 5 seconds.</x:v>
      </x:c>
      <x:c r="K43" s="15" t="str">
        <x:v>F[0,10](G[0,5](tracking_error &lt; 0.1))</x:v>
      </x:c>
      <x:c r="L43" s="15" t="str"/>
      <x:c r="M43" s="15" t="str">
        <x:v>none</x:v>
      </x:c>
      <x:c r="N43" s="15" t="str"/>
      <x:c r="O43" s="15" t="str"/>
      <x:c r="P43" s="15" t="str"/>
      <x:c r="Q43" s="15" t="str"/>
      <x:c r="R43" s="15" t="str">
        <x:v>F-G versus G-F nesting</x:v>
      </x:c>
      <x:c r="S43" s="15" t="n">
        <x:v>4</x:v>
      </x:c>
      <x:c r="T43" s="15" t="str">
        <x:v>F,G</x:v>
      </x:c>
      <x:c r="U43" s="15" t="str">
        <x:v>future_stl</x:v>
      </x:c>
      <x:c r="V43" s="15" t="str"/>
      <x:c r="W43" s="15" t="str"/>
    </x:row>
    <x:row r="44">
      <x:c r="A44" s="15" t="str">
        <x:v>NLSTL150-043</x:v>
      </x:c>
      <x:c r="B44" s="15" t="str">
        <x:v>paper_challenge</x:v>
      </x:c>
      <x:c r="C44" s="15" t="str">
        <x:v>STL-DivEn/KGST</x:v>
      </x:c>
      <x:c r="D44" s="15" t="str">
        <x:v>limitation_probe</x:v>
      </x:c>
      <x:c r="E44" s="15" t="str">
        <x:v>limitation_constructed</x:v>
      </x:c>
      <x:c r="F44" s="15" t="str">
        <x:v>Constructed from KGST/STL-DivEn error modes and paper analysis</x:v>
      </x:c>
      <x:c r="G44" s="15" t="str">
        <x:v>https://arxiv.org/abs/2505.20658</x:v>
      </x:c>
      <x:c r="H44" s="15" t="str">
        <x:v>generic</x:v>
      </x:c>
      <x:c r="I44" s="15" t="str">
        <x:v>translate</x:v>
      </x:c>
      <x:c r="J44" s="15" t="str">
        <x:v>If A or B is true and C is false, D must occur within 2 seconds.</x:v>
      </x:c>
      <x:c r="K44" s="15" t="str">
        <x:v>G(((A = 1) | ((B = 1) &amp; (C = 0))) -&gt; F[0,2](D = 1))</x:v>
      </x:c>
      <x:c r="L44" s="15" t="str"/>
      <x:c r="M44" s="15" t="str">
        <x:v>none</x:v>
      </x:c>
      <x:c r="N44" s="15" t="str"/>
      <x:c r="O44" s="15" t="str"/>
      <x:c r="P44" s="15" t="str"/>
      <x:c r="Q44" s="15" t="str"/>
      <x:c r="R44" s="15" t="str">
        <x:v>Boolean parenthesization not recoverable from token overlap alone</x:v>
      </x:c>
      <x:c r="S44" s="15" t="n">
        <x:v>4</x:v>
      </x:c>
      <x:c r="T44" s="15" t="str">
        <x:v>G,F,|,&amp;,-&gt;</x:v>
      </x:c>
      <x:c r="U44" s="15" t="str">
        <x:v>future_stl</x:v>
      </x:c>
      <x:c r="V44" s="15" t="str"/>
      <x:c r="W44" s="15" t="str"/>
    </x:row>
    <x:row r="45">
      <x:c r="A45" s="15" t="str">
        <x:v>NLSTL150-044</x:v>
      </x:c>
      <x:c r="B45" s="15" t="str">
        <x:v>paper_challenge</x:v>
      </x:c>
      <x:c r="C45" s="15" t="str">
        <x:v>STL-DivEn/KGST</x:v>
      </x:c>
      <x:c r="D45" s="15" t="str">
        <x:v>limitation_probe</x:v>
      </x:c>
      <x:c r="E45" s="15" t="str">
        <x:v>limitation_constructed</x:v>
      </x:c>
      <x:c r="F45" s="15" t="str">
        <x:v>Constructed from KGST/STL-DivEn error modes and paper analysis</x:v>
      </x:c>
      <x:c r="G45" s="15" t="str">
        <x:v>https://arxiv.org/abs/2505.20658</x:v>
      </x:c>
      <x:c r="H45" s="15" t="str">
        <x:v>process control</x:v>
      </x:c>
      <x:c r="I45" s="15" t="str">
        <x:v>translate</x:v>
      </x:c>
      <x:c r="J45" s="15" t="str">
        <x:v>The sum of inlet_flow and outlet_flow must remain below 12, but only while purge_mode is active.</x:v>
      </x:c>
      <x:c r="K45" s="15" t="str">
        <x:v>G((purge_mode = 1) -&gt; ((inlet_flow + outlet_flow) &lt; 12))</x:v>
      </x:c>
      <x:c r="L45" s="15" t="str"/>
      <x:c r="M45" s="15" t="str">
        <x:v>none</x:v>
      </x:c>
      <x:c r="N45" s="15" t="str"/>
      <x:c r="O45" s="15" t="str"/>
      <x:c r="P45" s="15" t="str"/>
      <x:c r="Q45" s="15" t="str"/>
      <x:c r="R45" s="15" t="str">
        <x:v>Arithmetic expression and condition binding</x:v>
      </x:c>
      <x:c r="S45" s="15" t="n">
        <x:v>4</x:v>
      </x:c>
      <x:c r="T45" s="15" t="str">
        <x:v>G,+,-&gt;</x:v>
      </x:c>
      <x:c r="U45" s="15" t="str">
        <x:v>future_stl</x:v>
      </x:c>
      <x:c r="V45" s="15" t="str"/>
      <x:c r="W45" s="15" t="str"/>
    </x:row>
    <x:row r="46">
      <x:c r="A46" s="15" t="str">
        <x:v>NLSTL150-045</x:v>
      </x:c>
      <x:c r="B46" s="15" t="str">
        <x:v>paper_challenge</x:v>
      </x:c>
      <x:c r="C46" s="15" t="str">
        <x:v>STL-DivEn/KGST</x:v>
      </x:c>
      <x:c r="D46" s="15" t="str">
        <x:v>limitation_probe</x:v>
      </x:c>
      <x:c r="E46" s="15" t="str">
        <x:v>limitation_constructed</x:v>
      </x:c>
      <x:c r="F46" s="15" t="str">
        <x:v>Constructed from KGST/STL-DivEn error modes and paper analysis</x:v>
      </x:c>
      <x:c r="G46" s="15" t="str">
        <x:v>https://arxiv.org/abs/2505.20658</x:v>
      </x:c>
      <x:c r="H46" s="15" t="str">
        <x:v>automotive</x:v>
      </x:c>
      <x:c r="I46" s="15" t="str">
        <x:v>translate</x:v>
      </x:c>
      <x:c r="J46" s="15" t="str">
        <x:v>The lateral error must remain within 0.3 metres of zero.</x:v>
      </x:c>
      <x:c r="K46" s="15" t="str">
        <x:v>G(abs(lateral_error) &lt;= 0.3)</x:v>
      </x:c>
      <x:c r="L46" s="15" t="str"/>
      <x:c r="M46" s="15" t="str">
        <x:v>none</x:v>
      </x:c>
      <x:c r="N46" s="15" t="str"/>
      <x:c r="O46" s="15" t="str"/>
      <x:c r="P46" s="15" t="str"/>
      <x:c r="Q46" s="15" t="str"/>
      <x:c r="R46" s="15" t="str">
        <x:v>Equivalent absolute-value versus two-inequality representations</x:v>
      </x:c>
      <x:c r="S46" s="15" t="n">
        <x:v>3</x:v>
      </x:c>
      <x:c r="T46" s="15" t="str">
        <x:v>G,abs</x:v>
      </x:c>
      <x:c r="U46" s="15" t="str">
        <x:v>future_stl</x:v>
      </x:c>
      <x:c r="V46" s="15" t="str"/>
      <x:c r="W46" s="15" t="str"/>
    </x:row>
    <x:row r="47">
      <x:c r="A47" s="15" t="str">
        <x:v>NLSTL150-046</x:v>
      </x:c>
      <x:c r="B47" s="15" t="str">
        <x:v>paper_challenge</x:v>
      </x:c>
      <x:c r="C47" s="15" t="str">
        <x:v>STL-DivEn/KGST</x:v>
      </x:c>
      <x:c r="D47" s="15" t="str">
        <x:v>limitation_probe</x:v>
      </x:c>
      <x:c r="E47" s="15" t="str">
        <x:v>limitation_constructed</x:v>
      </x:c>
      <x:c r="F47" s="15" t="str">
        <x:v>Constructed from KGST/STL-DivEn error modes and paper analysis</x:v>
      </x:c>
      <x:c r="G47" s="15" t="str">
        <x:v>https://arxiv.org/abs/2505.20658</x:v>
      </x:c>
      <x:c r="H47" s="15" t="str">
        <x:v>control</x:v>
      </x:c>
      <x:c r="I47" s="15" t="str">
        <x:v>translate</x:v>
      </x:c>
      <x:c r="J47" s="15" t="str">
        <x:v>Each time start changes from false to true, ready must be asserted within 3 seconds.</x:v>
      </x:c>
      <x:c r="K47" s="15" t="str">
        <x:v>G(rise(start = 1) -&gt; F[0,3](ready = 1))</x:v>
      </x:c>
      <x:c r="L47" s="15" t="str"/>
      <x:c r="M47" s="15" t="str">
        <x:v>none</x:v>
      </x:c>
      <x:c r="N47" s="15" t="str"/>
      <x:c r="O47" s="15" t="str"/>
      <x:c r="P47" s="15" t="str"/>
      <x:c r="Q47" s="15" t="str"/>
      <x:c r="R47" s="15" t="str">
        <x:v>Event versus persistent-state trigger</x:v>
      </x:c>
      <x:c r="S47" s="15" t="n">
        <x:v>4</x:v>
      </x:c>
      <x:c r="T47" s="15" t="str">
        <x:v>G,F,rise,-&gt;</x:v>
      </x:c>
      <x:c r="U47" s="15" t="str">
        <x:v>future_stl</x:v>
      </x:c>
      <x:c r="V47" s="15" t="str"/>
      <x:c r="W47" s="15" t="str"/>
    </x:row>
    <x:row r="48">
      <x:c r="A48" s="15" t="str">
        <x:v>NLSTL150-047</x:v>
      </x:c>
      <x:c r="B48" s="15" t="str">
        <x:v>paper_challenge</x:v>
      </x:c>
      <x:c r="C48" s="15" t="str">
        <x:v>STL-DivEn/KGST</x:v>
      </x:c>
      <x:c r="D48" s="15" t="str">
        <x:v>limitation_probe</x:v>
      </x:c>
      <x:c r="E48" s="15" t="str">
        <x:v>limitation_constructed</x:v>
      </x:c>
      <x:c r="F48" s="15" t="str">
        <x:v>Constructed from KGST/STL-DivEn error modes and paper analysis</x:v>
      </x:c>
      <x:c r="G48" s="15" t="str">
        <x:v>https://arxiv.org/abs/2505.20658</x:v>
      </x:c>
      <x:c r="H48" s="15" t="str">
        <x:v>protocol</x:v>
      </x:c>
      <x:c r="I48" s="15" t="str">
        <x:v>translate</x:v>
      </x:c>
      <x:c r="J48" s="15" t="str">
        <x:v>Every request must receive its own response within 5 seconds even if requests overlap.</x:v>
      </x:c>
      <x:c r="K48" s="15" t="str">
        <x:v>G(rise(request = 1) -&gt; F[0,5](response = 1))</x:v>
      </x:c>
      <x:c r="L48" s="15" t="str"/>
      <x:c r="M48" s="15" t="str">
        <x:v>none</x:v>
      </x:c>
      <x:c r="N48" s="15" t="str"/>
      <x:c r="O48" s="15" t="str"/>
      <x:c r="P48" s="15" t="str"/>
      <x:c r="Q48" s="15" t="str"/>
      <x:c r="R48" s="15" t="str">
        <x:v>Overlapping obligations and event matching not visible from surface form</x:v>
      </x:c>
      <x:c r="S48" s="15" t="n">
        <x:v>5</x:v>
      </x:c>
      <x:c r="T48" s="15" t="str">
        <x:v>G,F,rise,-&gt;</x:v>
      </x:c>
      <x:c r="U48" s="15" t="str">
        <x:v>future_stl</x:v>
      </x:c>
      <x:c r="V48" s="15" t="str"/>
      <x:c r="W48" s="15" t="str">
        <x:v>Standard STL does not uniquely pair each response with a request; evaluate whether the model flags this modeling caveat.</x:v>
      </x:c>
    </x:row>
    <x:row r="49">
      <x:c r="A49" s="15" t="str">
        <x:v>NLSTL150-048</x:v>
      </x:c>
      <x:c r="B49" s="15" t="str">
        <x:v>paper_challenge</x:v>
      </x:c>
      <x:c r="C49" s="15" t="str">
        <x:v>STL-DivEn/KGST</x:v>
      </x:c>
      <x:c r="D49" s="15" t="str">
        <x:v>limitation_probe</x:v>
      </x:c>
      <x:c r="E49" s="15" t="str">
        <x:v>limitation_constructed</x:v>
      </x:c>
      <x:c r="F49" s="15" t="str">
        <x:v>Constructed from KGST/STL-DivEn error modes and paper analysis</x:v>
      </x:c>
      <x:c r="G49" s="15" t="str">
        <x:v>https://arxiv.org/abs/2505.20658</x:v>
      </x:c>
      <x:c r="H49" s="15" t="str">
        <x:v>generic</x:v>
      </x:c>
      <x:c r="I49" s="15" t="str">
        <x:v>translate</x:v>
      </x:c>
      <x:c r="J49" s="15" t="str">
        <x:v>Whenever A and not A hold, B must occur within 2 seconds.</x:v>
      </x:c>
      <x:c r="K49" s="15" t="str">
        <x:v>G(((A = 1) &amp; !(A = 1)) -&gt; F[0,2](B = 1))</x:v>
      </x:c>
      <x:c r="L49" s="15" t="str"/>
      <x:c r="M49" s="15" t="str">
        <x:v>none</x:v>
      </x:c>
      <x:c r="N49" s="15" t="str"/>
      <x:c r="O49" s="15" t="str"/>
      <x:c r="P49" s="15" t="str"/>
      <x:c r="Q49" s="15" t="str"/>
      <x:c r="R49" s="15" t="str">
        <x:v>Vacuous implication and logically inconsistent trigger</x:v>
      </x:c>
      <x:c r="S49" s="15" t="n">
        <x:v>4</x:v>
      </x:c>
      <x:c r="T49" s="15" t="str">
        <x:v>G,F,&amp;,!,-&gt;</x:v>
      </x:c>
      <x:c r="U49" s="15" t="str">
        <x:v>future_stl</x:v>
      </x:c>
      <x:c r="V49" s="15" t="str"/>
      <x:c r="W49" s="15" t="str"/>
    </x:row>
    <x:row r="50">
      <x:c r="A50" s="15" t="str">
        <x:v>NLSTL150-049</x:v>
      </x:c>
      <x:c r="B50" s="15" t="str">
        <x:v>paper_challenge</x:v>
      </x:c>
      <x:c r="C50" s="15" t="str">
        <x:v>STL-DivEn/KGST</x:v>
      </x:c>
      <x:c r="D50" s="15" t="str">
        <x:v>limitation_probe</x:v>
      </x:c>
      <x:c r="E50" s="15" t="str">
        <x:v>limitation_constructed</x:v>
      </x:c>
      <x:c r="F50" s="15" t="str">
        <x:v>Constructed from KGST/STL-DivEn error modes and paper analysis</x:v>
      </x:c>
      <x:c r="G50" s="15" t="str">
        <x:v>https://arxiv.org/abs/2505.20658</x:v>
      </x:c>
      <x:c r="H50" s="15" t="str">
        <x:v>automotive</x:v>
      </x:c>
      <x:c r="I50" s="15" t="str">
        <x:v>clarify_then_translate</x:v>
      </x:c>
      <x:c r="J50" s="15" t="str">
        <x:v>If speed exceeds 50, brake within 2.</x:v>
      </x:c>
      <x:c r="K50" s="15" t="str"/>
      <x:c r="L50" s="15" t="str"/>
      <x:c r="M50" s="15" t="str">
        <x:v>unknown_units</x:v>
      </x:c>
      <x:c r="N50" s="15" t="str">
        <x:v>What are the units of speed and of the response time?</x:v>
      </x:c>
      <x:c r="O50" s="15" t="str">
        <x:v>Speed is km/h and time is seconds.</x:v>
      </x:c>
      <x:c r="P50" s="15" t="str">
        <x:v>If speed exceeds 50 km/h, braking must begin within 2 seconds.</x:v>
      </x:c>
      <x:c r="Q50" s="15" t="str">
        <x:v>G((speed_kmh &gt; 50) -&gt; F[0,2](brake = 1))</x:v>
      </x:c>
      <x:c r="R50" s="15" t="str">
        <x:v>Missing physical units despite syntactically plausible formula</x:v>
      </x:c>
      <x:c r="S50" s="15" t="n">
        <x:v>3</x:v>
      </x:c>
      <x:c r="T50" s="15" t="str">
        <x:v>various</x:v>
      </x:c>
      <x:c r="U50" s="15" t="str">
        <x:v>future_stl</x:v>
      </x:c>
      <x:c r="V50" s="15" t="str"/>
      <x:c r="W50" s="15" t="str"/>
    </x:row>
    <x:row r="51">
      <x:c r="A51" s="15" t="str">
        <x:v>NLSTL150-050</x:v>
      </x:c>
      <x:c r="B51" s="15" t="str">
        <x:v>paper_challenge</x:v>
      </x:c>
      <x:c r="C51" s="15" t="str">
        <x:v>STL-DivEn/KGST</x:v>
      </x:c>
      <x:c r="D51" s="15" t="str">
        <x:v>limitation_probe</x:v>
      </x:c>
      <x:c r="E51" s="15" t="str">
        <x:v>limitation_constructed</x:v>
      </x:c>
      <x:c r="F51" s="15" t="str">
        <x:v>Constructed from KGST/STL-DivEn error modes and paper analysis</x:v>
      </x:c>
      <x:c r="G51" s="15" t="str">
        <x:v>https://arxiv.org/abs/2505.20658</x:v>
      </x:c>
      <x:c r="H51" s="15" t="str">
        <x:v>access control</x:v>
      </x:c>
      <x:c r="I51" s="15" t="str">
        <x:v>translate</x:v>
      </x:c>
      <x:c r="J51" s="15" t="str">
        <x:v>Whenever the door unlocks, authorization must have been continuously valid for the previous 10 seconds.</x:v>
      </x:c>
      <x:c r="K51" s="15" t="str">
        <x:v>G(rise(door_unlocked = 1) -&gt; H[0,10](authorization_valid = 1))</x:v>
      </x:c>
      <x:c r="L51" s="15" t="str"/>
      <x:c r="M51" s="15" t="str">
        <x:v>none</x:v>
      </x:c>
      <x:c r="N51" s="15" t="str"/>
      <x:c r="O51" s="15" t="str"/>
      <x:c r="P51" s="15" t="str"/>
      <x:c r="Q51" s="15" t="str"/>
      <x:c r="R51" s="15" t="str">
        <x:v>Rare operator not well represented by nearest examples</x:v>
      </x:c>
      <x:c r="S51" s="15" t="n">
        <x:v>5</x:v>
      </x:c>
      <x:c r="T51" s="15" t="str">
        <x:v>G,H,rise,-&gt;</x:v>
      </x:c>
      <x:c r="U51" s="15" t="str">
        <x:v>future_stl</x:v>
      </x:c>
      <x:c r="V51" s="15" t="str"/>
      <x:c r="W51" s="15" t="str"/>
    </x:row>
    <x:row r="52">
      <x:c r="A52" s="15" t="str">
        <x:v>NLSTL150-051</x:v>
      </x:c>
      <x:c r="B52" s="15" t="str">
        <x:v>paper_challenge</x:v>
      </x:c>
      <x:c r="C52" s="15" t="str">
        <x:v>STL-DivEn/KGST</x:v>
      </x:c>
      <x:c r="D52" s="15" t="str">
        <x:v>limitation_probe</x:v>
      </x:c>
      <x:c r="E52" s="15" t="str">
        <x:v>limitation_constructed</x:v>
      </x:c>
      <x:c r="F52" s="15" t="str">
        <x:v>Constructed from KGST/STL-DivEn error modes and paper analysis</x:v>
      </x:c>
      <x:c r="G52" s="15" t="str">
        <x:v>https://arxiv.org/abs/2505.20658</x:v>
      </x:c>
      <x:c r="H52" s="15" t="str">
        <x:v>monitoring</x:v>
      </x:c>
      <x:c r="I52" s="15" t="str">
        <x:v>abstain_or_request_context</x:v>
      </x:c>
      <x:c r="J52" s="15" t="str">
        <x:v>The alarm may sound at most three times in any 60-second interval.</x:v>
      </x:c>
      <x:c r="K52" s="15" t="str"/>
      <x:c r="L52" s="15" t="str"/>
      <x:c r="M52" s="15" t="str">
        <x:v>non_stl_counting</x:v>
      </x:c>
      <x:c r="N52" s="15" t="str"/>
      <x:c r="O52" s="15" t="str"/>
      <x:c r="P52" s="15" t="str"/>
      <x:c r="Q52" s="15" t="str"/>
      <x:c r="R52" s="15" t="str">
        <x:v>Counting is outside ordinary STL without an auxiliary counter</x:v>
      </x:c>
      <x:c r="S52" s="15" t="n">
        <x:v>5</x:v>
      </x:c>
      <x:c r="T52" s="15" t="str">
        <x:v>various</x:v>
      </x:c>
      <x:c r="U52" s="15" t="str">
        <x:v>future_stl</x:v>
      </x:c>
      <x:c r="V52" s="15" t="str"/>
      <x:c r="W52" s="15" t="str"/>
    </x:row>
    <x:row r="53">
      <x:c r="A53" s="15" t="str">
        <x:v>NLSTL150-052</x:v>
      </x:c>
      <x:c r="B53" s="15" t="str">
        <x:v>paper_challenge</x:v>
      </x:c>
      <x:c r="C53" s="15" t="str">
        <x:v>STL-DivEn/KGST</x:v>
      </x:c>
      <x:c r="D53" s="15" t="str">
        <x:v>limitation_probe</x:v>
      </x:c>
      <x:c r="E53" s="15" t="str">
        <x:v>limitation_constructed</x:v>
      </x:c>
      <x:c r="F53" s="15" t="str">
        <x:v>Constructed from KGST/STL-DivEn error modes and paper analysis</x:v>
      </x:c>
      <x:c r="G53" s="15" t="str">
        <x:v>https://arxiv.org/abs/2505.20658</x:v>
      </x:c>
      <x:c r="H53" s="15" t="str">
        <x:v>drone</x:v>
      </x:c>
      <x:c r="I53" s="15" t="str">
        <x:v>abstain_or_request_context</x:v>
      </x:c>
      <x:c r="J53" s="15" t="str">
        <x:v>With probability at least 0.99, the drone must avoid the no-fly zone.</x:v>
      </x:c>
      <x:c r="K53" s="15" t="str"/>
      <x:c r="L53" s="15" t="str"/>
      <x:c r="M53" s="15" t="str">
        <x:v>non_stl_probabilistic</x:v>
      </x:c>
      <x:c r="N53" s="15" t="str"/>
      <x:c r="O53" s="15" t="str"/>
      <x:c r="P53" s="15" t="str"/>
      <x:c r="Q53" s="15" t="str"/>
      <x:c r="R53" s="15" t="str">
        <x:v>Probabilistic requirement outside deterministic STL</x:v>
      </x:c>
      <x:c r="S53" s="15" t="n">
        <x:v>5</x:v>
      </x:c>
      <x:c r="T53" s="15" t="str">
        <x:v>various</x:v>
      </x:c>
      <x:c r="U53" s="15" t="str">
        <x:v>future_stl</x:v>
      </x:c>
      <x:c r="V53" s="15" t="str"/>
      <x:c r="W53" s="15" t="str"/>
    </x:row>
    <x:row r="54">
      <x:c r="A54" s="15" t="str">
        <x:v>NLSTL150-053</x:v>
      </x:c>
      <x:c r="B54" s="15" t="str">
        <x:v>paper_challenge</x:v>
      </x:c>
      <x:c r="C54" s="15" t="str">
        <x:v>STL-DivEn/KGST</x:v>
      </x:c>
      <x:c r="D54" s="15" t="str">
        <x:v>limitation_probe</x:v>
      </x:c>
      <x:c r="E54" s="15" t="str">
        <x:v>limitation_constructed</x:v>
      </x:c>
      <x:c r="F54" s="15" t="str">
        <x:v>Constructed from KGST/STL-DivEn error modes and paper analysis</x:v>
      </x:c>
      <x:c r="G54" s="15" t="str">
        <x:v>https://arxiv.org/abs/2505.20658</x:v>
      </x:c>
      <x:c r="H54" s="15" t="str">
        <x:v>automotive</x:v>
      </x:c>
      <x:c r="I54" s="15" t="str">
        <x:v>clarify_then_translate</x:v>
      </x:c>
      <x:c r="J54" s="15" t="str">
        <x:v>When a vehicle is close, keep at least 2 metres away; the retrieved domain rule defines close as below 3 metres but a second rule defines it as below 5 metres.</x:v>
      </x:c>
      <x:c r="K54" s="15" t="str"/>
      <x:c r="L54" s="15" t="str"/>
      <x:c r="M54" s="15" t="str">
        <x:v>external_knowledge_conflict</x:v>
      </x:c>
      <x:c r="N54" s="15" t="str">
        <x:v>Which definition of “close” should govern this requirement?</x:v>
      </x:c>
      <x:c r="O54" s="15" t="str">
        <x:v>Use below 3 metres.</x:v>
      </x:c>
      <x:c r="P54" s="15" t="str">
        <x:v>Whenever another vehicle is within 3 metres, maintain at least 2 metres of separation.</x:v>
      </x:c>
      <x:c r="Q54" s="15" t="str">
        <x:v>G((vehicle_distance &lt; 3) -&gt; (separation &gt;= 2))</x:v>
      </x:c>
      <x:c r="R54" s="15" t="str">
        <x:v>Conflicting external knowledge and retrieval evidence</x:v>
      </x:c>
      <x:c r="S54" s="15" t="n">
        <x:v>5</x:v>
      </x:c>
      <x:c r="T54" s="15" t="str">
        <x:v>various</x:v>
      </x:c>
      <x:c r="U54" s="15" t="str">
        <x:v>future_stl</x:v>
      </x:c>
      <x:c r="V54" s="15" t="str"/>
      <x:c r="W54" s="15" t="str"/>
    </x:row>
    <x:row r="55">
      <x:c r="A55" s="15" t="str">
        <x:v>NLSTL150-054</x:v>
      </x:c>
      <x:c r="B55" s="15" t="str">
        <x:v>paper_challenge</x:v>
      </x:c>
      <x:c r="C55" s="15" t="str">
        <x:v>STL-DivEn/KGST</x:v>
      </x:c>
      <x:c r="D55" s="15" t="str">
        <x:v>limitation_probe</x:v>
      </x:c>
      <x:c r="E55" s="15" t="str">
        <x:v>limitation_constructed</x:v>
      </x:c>
      <x:c r="F55" s="15" t="str">
        <x:v>Constructed from KGST/STL-DivEn error modes and paper analysis</x:v>
      </x:c>
      <x:c r="G55" s="15" t="str">
        <x:v>https://arxiv.org/abs/2505.20658</x:v>
      </x:c>
      <x:c r="H55" s="15" t="str">
        <x:v>mechanical</x:v>
      </x:c>
      <x:c r="I55" s="15" t="str">
        <x:v>clarify_then_translate</x:v>
      </x:c>
      <x:c r="J55" s="15" t="str">
        <x:v>The controller must avoid excessive vibration.</x:v>
      </x:c>
      <x:c r="K55" s="15" t="str"/>
      <x:c r="L55" s="15" t="str"/>
      <x:c r="M55" s="15" t="str">
        <x:v>numerical_vagueness</x:v>
      </x:c>
      <x:c r="N55" s="15" t="str">
        <x:v>What vibration measure and maximum threshold define excessive vibration?</x:v>
      </x:c>
      <x:c r="O55" s="15" t="str">
        <x:v>RMS vibration must remain below 0.4 g.</x:v>
      </x:c>
      <x:c r="P55" s="15" t="str">
        <x:v>RMS vibration must always remain below 0.4 g.</x:v>
      </x:c>
      <x:c r="Q55" s="15" t="str">
        <x:v>G(vibration_rms &lt; 0.4)</x:v>
      </x:c>
      <x:c r="R55" s="15" t="str">
        <x:v>Refinement may hallucinate a plausible threshold</x:v>
      </x:c>
      <x:c r="S55" s="15" t="n">
        <x:v>3</x:v>
      </x:c>
      <x:c r="T55" s="15" t="str">
        <x:v>various</x:v>
      </x:c>
      <x:c r="U55" s="15" t="str">
        <x:v>future_stl</x:v>
      </x:c>
      <x:c r="V55" s="15" t="str"/>
      <x:c r="W55" s="15" t="str"/>
    </x:row>
    <x:row r="56">
      <x:c r="A56" s="15" t="str">
        <x:v>NLSTL150-055</x:v>
      </x:c>
      <x:c r="B56" s="15" t="str">
        <x:v>paper_challenge</x:v>
      </x:c>
      <x:c r="C56" s="15" t="str">
        <x:v>STL-DivEn/KGST</x:v>
      </x:c>
      <x:c r="D56" s="15" t="str">
        <x:v>limitation_probe</x:v>
      </x:c>
      <x:c r="E56" s="15" t="str">
        <x:v>limitation_constructed</x:v>
      </x:c>
      <x:c r="F56" s="15" t="str">
        <x:v>Constructed from KGST/STL-DivEn error modes and paper analysis</x:v>
      </x:c>
      <x:c r="G56" s="15" t="str">
        <x:v>https://arxiv.org/abs/2505.20658</x:v>
      </x:c>
      <x:c r="H56" s="15" t="str">
        <x:v>control</x:v>
      </x:c>
      <x:c r="I56" s="15" t="str">
        <x:v>abstain_or_request_context</x:v>
      </x:c>
      <x:c r="J56" s="15" t="str">
        <x:v>The motor must always be on and always be off.</x:v>
      </x:c>
      <x:c r="K56" s="15" t="str"/>
      <x:c r="L56" s="15" t="str"/>
      <x:c r="M56" s="15" t="str">
        <x:v>inconsistent_requirement</x:v>
      </x:c>
      <x:c r="N56" s="15" t="str"/>
      <x:c r="O56" s="15" t="str"/>
      <x:c r="P56" s="15" t="str"/>
      <x:c r="Q56" s="15" t="str"/>
      <x:c r="R56" s="15" t="str">
        <x:v>Syntactically valid but unsatisfiable specification</x:v>
      </x:c>
      <x:c r="S56" s="15" t="n">
        <x:v>4</x:v>
      </x:c>
      <x:c r="T56" s="15" t="str">
        <x:v>various</x:v>
      </x:c>
      <x:c r="U56" s="15" t="str">
        <x:v>future_stl</x:v>
      </x:c>
      <x:c r="V56" s="15" t="str"/>
      <x:c r="W56" s="15" t="str"/>
    </x:row>
    <x:row r="57">
      <x:c r="A57" s="15" t="str">
        <x:v>NLSTL150-056</x:v>
      </x:c>
      <x:c r="B57" s="15" t="str">
        <x:v>paper_challenge</x:v>
      </x:c>
      <x:c r="C57" s="15" t="str">
        <x:v>STL-DivEn/KGST</x:v>
      </x:c>
      <x:c r="D57" s="15" t="str">
        <x:v>limitation_probe</x:v>
      </x:c>
      <x:c r="E57" s="15" t="str">
        <x:v>limitation_constructed</x:v>
      </x:c>
      <x:c r="F57" s="15" t="str">
        <x:v>Constructed from KGST/STL-DivEn error modes and paper analysis</x:v>
      </x:c>
      <x:c r="G57" s="15" t="str">
        <x:v>https://arxiv.org/abs/2505.20658</x:v>
      </x:c>
      <x:c r="H57" s="15" t="str">
        <x:v>control</x:v>
      </x:c>
      <x:c r="I57" s="15" t="str">
        <x:v>translate</x:v>
      </x:c>
      <x:c r="J57" s="15" t="str">
        <x:v>During the first 120 seconds, whenever either sensor A exceeds 5 or sensor B falls below -2, actuator C must respond within 4 seconds, stay active for 6 seconds, and keep error D below 0.1 unless override E is asserted.</x:v>
      </x:c>
      <x:c r="K57" s="15" t="str">
        <x:v>G[0,120]((((A &gt; 5) | (B &lt; -2)) &amp; !(E = 1)) -&gt; F[0,4](G[0,6]((C = 1) &amp; (D &lt; 0.1))))</x:v>
      </x:c>
      <x:c r="L57" s="15" t="str"/>
      <x:c r="M57" s="15" t="str">
        <x:v>none</x:v>
      </x:c>
      <x:c r="N57" s="15" t="str"/>
      <x:c r="O57" s="15" t="str"/>
      <x:c r="P57" s="15" t="str"/>
      <x:c r="Q57" s="15" t="str"/>
      <x:c r="R57" s="15" t="str">
        <x:v>Long compositional requirement with several scopes</x:v>
      </x:c>
      <x:c r="S57" s="15" t="n">
        <x:v>5</x:v>
      </x:c>
      <x:c r="T57" s="15" t="str">
        <x:v>G,F,|,&amp;,!,-&gt;</x:v>
      </x:c>
      <x:c r="U57" s="15" t="str">
        <x:v>future_stl</x:v>
      </x:c>
      <x:c r="V57" s="15" t="str"/>
      <x:c r="W57" s="15" t="str"/>
    </x:row>
    <x:row r="58">
      <x:c r="A58" s="15" t="str">
        <x:v>NLSTL150-057</x:v>
      </x:c>
      <x:c r="B58" s="15" t="str">
        <x:v>paper_challenge</x:v>
      </x:c>
      <x:c r="C58" s="15" t="str">
        <x:v>STL-DivEn/KGST</x:v>
      </x:c>
      <x:c r="D58" s="15" t="str">
        <x:v>limitation_probe</x:v>
      </x:c>
      <x:c r="E58" s="15" t="str">
        <x:v>limitation_constructed</x:v>
      </x:c>
      <x:c r="F58" s="15" t="str">
        <x:v>Constructed from KGST/STL-DivEn error modes and paper analysis</x:v>
      </x:c>
      <x:c r="G58" s="15" t="str">
        <x:v>https://arxiv.org/abs/2505.20658</x:v>
      </x:c>
      <x:c r="H58" s="15" t="str">
        <x:v>industrial</x:v>
      </x:c>
      <x:c r="I58" s="15" t="str">
        <x:v>clarify_then_translate</x:v>
      </x:c>
      <x:c r="J58" s="15" t="str">
        <x:v>When valve A opens while valve B is closed, it must close within 3 seconds.</x:v>
      </x:c>
      <x:c r="K58" s="15" t="str"/>
      <x:c r="L58" s="15" t="str"/>
      <x:c r="M58" s="15" t="str">
        <x:v>referential_ambiguity</x:v>
      </x:c>
      <x:c r="N58" s="15" t="str">
        <x:v>Which valve must close within 3 seconds?</x:v>
      </x:c>
      <x:c r="O58" s="15" t="str">
        <x:v>Valve A.</x:v>
      </x:c>
      <x:c r="P58" s="15" t="str">
        <x:v>When valve A opens while valve B is closed, valve A must close within 3 seconds.</x:v>
      </x:c>
      <x:c r="Q58" s="15" t="str">
        <x:v>G(((valve_A = 1) &amp; (valve_B = 0)) -&gt; F[0,3](valve_A = 0))</x:v>
      </x:c>
      <x:c r="R58" s="15" t="str">
        <x:v>Referential ambiguity can mislead retrieval and refinement</x:v>
      </x:c>
      <x:c r="S58" s="15" t="n">
        <x:v>4</x:v>
      </x:c>
      <x:c r="T58" s="15" t="str">
        <x:v>various</x:v>
      </x:c>
      <x:c r="U58" s="15" t="str">
        <x:v>future_stl</x:v>
      </x:c>
      <x:c r="V58" s="15" t="str"/>
      <x:c r="W58" s="15" t="str"/>
    </x:row>
    <x:row r="59">
      <x:c r="A59" s="15" t="str">
        <x:v>NLSTL150-058</x:v>
      </x:c>
      <x:c r="B59" s="15" t="str">
        <x:v>paper_challenge</x:v>
      </x:c>
      <x:c r="C59" s="15" t="str">
        <x:v>STL-DivEn/KGST</x:v>
      </x:c>
      <x:c r="D59" s="15" t="str">
        <x:v>limitation_probe</x:v>
      </x:c>
      <x:c r="E59" s="15" t="str">
        <x:v>limitation_constructed</x:v>
      </x:c>
      <x:c r="F59" s="15" t="str">
        <x:v>Constructed from KGST/STL-DivEn error modes and paper analysis</x:v>
      </x:c>
      <x:c r="G59" s="15" t="str">
        <x:v>https://arxiv.org/abs/2505.20658</x:v>
      </x:c>
      <x:c r="H59" s="15" t="str">
        <x:v>industrial</x:v>
      </x:c>
      <x:c r="I59" s="15" t="str">
        <x:v>translate</x:v>
      </x:c>
      <x:c r="J59" s="15" t="str">
        <x:v>Should the manifold pressure overshoot twelve, the relief path is to be made patent within two seconds.</x:v>
      </x:c>
      <x:c r="K59" s="15" t="str">
        <x:v>G((manifold_pressure &gt; 12) -&gt; F[0,2](relief_valve_open = 1))</x:v>
      </x:c>
      <x:c r="L59" s="15" t="str"/>
      <x:c r="M59" s="15" t="str">
        <x:v>none</x:v>
      </x:c>
      <x:c r="N59" s="15" t="str"/>
      <x:c r="O59" s="15" t="str"/>
      <x:c r="P59" s="15" t="str"/>
      <x:c r="Q59" s="15" t="str"/>
      <x:c r="R59" s="15" t="str">
        <x:v>Uncommon lexical realization despite structural similarity</x:v>
      </x:c>
      <x:c r="S59" s="15" t="n">
        <x:v>4</x:v>
      </x:c>
      <x:c r="T59" s="15" t="str">
        <x:v>G,F,-&gt;</x:v>
      </x:c>
      <x:c r="U59" s="15" t="str">
        <x:v>future_stl</x:v>
      </x:c>
      <x:c r="V59" s="15" t="str"/>
      <x:c r="W59" s="15" t="str"/>
    </x:row>
    <x:row r="60">
      <x:c r="A60" s="15" t="str">
        <x:v>NLSTL150-059</x:v>
      </x:c>
      <x:c r="B60" s="15" t="str">
        <x:v>paper_challenge</x:v>
      </x:c>
      <x:c r="C60" s="15" t="str">
        <x:v>STL-DivEn/KGST</x:v>
      </x:c>
      <x:c r="D60" s="15" t="str">
        <x:v>limitation_probe</x:v>
      </x:c>
      <x:c r="E60" s="15" t="str">
        <x:v>limitation_constructed</x:v>
      </x:c>
      <x:c r="F60" s="15" t="str">
        <x:v>Constructed from KGST/STL-DivEn error modes and paper analysis</x:v>
      </x:c>
      <x:c r="G60" s="15" t="str">
        <x:v>https://arxiv.org/abs/2505.20658</x:v>
      </x:c>
      <x:c r="H60" s="15" t="str">
        <x:v>generic</x:v>
      </x:c>
      <x:c r="I60" s="15" t="str">
        <x:v>translate</x:v>
      </x:c>
      <x:c r="J60" s="15" t="str">
        <x:v>If A, B, C, and D are all true while E is false, then F or G must occur within 5 seconds.</x:v>
      </x:c>
      <x:c r="K60" s="15" t="str">
        <x:v>G(((A = 1) &amp; (B = 1) &amp; (C = 1) &amp; (D = 1) &amp; !(E = 1)) -&gt; F[0,5]((Fsig = 1) | (Gsig = 1)))</x:v>
      </x:c>
      <x:c r="L60" s="15" t="str"/>
      <x:c r="M60" s="15" t="str">
        <x:v>none</x:v>
      </x:c>
      <x:c r="N60" s="15" t="str"/>
      <x:c r="O60" s="15" t="str"/>
      <x:c r="P60" s="15" t="str"/>
      <x:c r="Q60" s="15" t="str"/>
      <x:c r="R60" s="15" t="str">
        <x:v>Many atomic propositions and retrieval sparsity</x:v>
      </x:c>
      <x:c r="S60" s="15" t="n">
        <x:v>5</x:v>
      </x:c>
      <x:c r="T60" s="15" t="str">
        <x:v>G,F,&amp;,!,|,-&gt;</x:v>
      </x:c>
      <x:c r="U60" s="15" t="str">
        <x:v>future_stl</x:v>
      </x:c>
      <x:c r="V60" s="15" t="str"/>
      <x:c r="W60" s="15" t="str"/>
    </x:row>
    <x:row r="61">
      <x:c r="A61" s="15" t="str">
        <x:v>NLSTL150-060</x:v>
      </x:c>
      <x:c r="B61" s="15" t="str">
        <x:v>paper_challenge</x:v>
      </x:c>
      <x:c r="C61" s="15" t="str">
        <x:v>STL-DivEn/KGST</x:v>
      </x:c>
      <x:c r="D61" s="15" t="str">
        <x:v>limitation_probe</x:v>
      </x:c>
      <x:c r="E61" s="15" t="str">
        <x:v>limitation_constructed</x:v>
      </x:c>
      <x:c r="F61" s="15" t="str">
        <x:v>Constructed from KGST/STL-DivEn error modes and paper analysis</x:v>
      </x:c>
      <x:c r="G61" s="15" t="str">
        <x:v>https://arxiv.org/abs/2505.20658</x:v>
      </x:c>
      <x:c r="H61" s="15" t="str">
        <x:v>vehicle control</x:v>
      </x:c>
      <x:c r="I61" s="15" t="str">
        <x:v>translate</x:v>
      </x:c>
      <x:c r="J61" s="15" t="str">
        <x:v>The yaw error must always remain between -5 and 5 degrees.</x:v>
      </x:c>
      <x:c r="K61" s="15" t="str">
        <x:v>G((yaw_error &gt;= -5) &amp; (yaw_error &lt;= 5))</x:v>
      </x:c>
      <x:c r="L61" s="15" t="str"/>
      <x:c r="M61" s="15" t="str">
        <x:v>none</x:v>
      </x:c>
      <x:c r="N61" s="15" t="str"/>
      <x:c r="O61" s="15" t="str"/>
      <x:c r="P61" s="15" t="str"/>
      <x:c r="Q61" s="15" t="str"/>
      <x:c r="R61" s="15" t="str">
        <x:v>Equivalent range encodings may be penalized by token metrics</x:v>
      </x:c>
      <x:c r="S61" s="15" t="n">
        <x:v>3</x:v>
      </x:c>
      <x:c r="T61" s="15" t="str">
        <x:v>G,&amp;</x:v>
      </x:c>
      <x:c r="U61" s="15" t="str">
        <x:v>future_stl</x:v>
      </x:c>
      <x:c r="V61" s="15" t="str"/>
      <x:c r="W61" s="15" t="str">
        <x:v>An equivalent answer G(abs(yaw_error)&lt;=5) should be accepted semantically.</x:v>
      </x:c>
    </x:row>
    <x:row r="62">
      <x:c r="A62" s="15" t="str">
        <x:v>NLSTL150-061</x:v>
      </x:c>
      <x:c r="B62" s="15" t="str">
        <x:v>paper_supported</x:v>
      </x:c>
      <x:c r="C62" s="15" t="str">
        <x:v>ChatSTL</x:v>
      </x:c>
      <x:c r="D62" s="15" t="str">
        <x:v>expected_strength</x:v>
      </x:c>
      <x:c r="E62" s="15" t="str">
        <x:v>paper_explicit_paraphrase</x:v>
      </x:c>
      <x:c r="F62" s="15" t="str">
        <x:v>Uploaded PDF: NL-STL Examples.pdf, pp.5–6, narrow-road meeting scenario</x:v>
      </x:c>
      <x:c r="G62" s="15" t="str"/>
      <x:c r="H62" s="15" t="str">
        <x:v>autonomous driving</x:v>
      </x:c>
      <x:c r="I62" s="15" t="str">
        <x:v>translate</x:v>
      </x:c>
      <x:c r="J62" s="15" t="str">
        <x:v>On a narrow road, when an oncoming vehicle cannot pass, yield, reverse into a safe region, and allow the other vehicle to pass without collision.</x:v>
      </x:c>
      <x:c r="K62" s="15" t="str">
        <x:v>G(collision_free) &amp; F(check_waiting &amp; (backward U (safe_region_found &amp; other_vehicle_passed)))</x:v>
      </x:c>
      <x:c r="L62" s="15" t="str"/>
      <x:c r="M62" s="15" t="str">
        <x:v>none</x:v>
      </x:c>
      <x:c r="N62" s="15" t="str"/>
      <x:c r="O62" s="15" t="str"/>
      <x:c r="P62" s="15" t="str"/>
      <x:c r="Q62" s="15" t="str"/>
      <x:c r="R62" s="15" t="str"/>
      <x:c r="S62" s="15" t="n">
        <x:v>4</x:v>
      </x:c>
      <x:c r="T62" s="15" t="str">
        <x:v>G,F,U,&amp;</x:v>
      </x:c>
      <x:c r="U62" s="15" t="str">
        <x:v>symbolic_stl</x:v>
      </x:c>
      <x:c r="V62" s="15" t="str">
        <x:v>collision_free,check_waiting,backward,safe_region_found,other_vehicle_passed</x:v>
      </x:c>
      <x:c r="W62" s="15" t="str">
        <x:v>Canonicalized AP-level version of the generated specification in the uploaded table.</x:v>
      </x:c>
    </x:row>
    <x:row r="63">
      <x:c r="A63" s="15" t="str">
        <x:v>NLSTL150-062</x:v>
      </x:c>
      <x:c r="B63" s="15" t="str">
        <x:v>paper_supported</x:v>
      </x:c>
      <x:c r="C63" s="15" t="str">
        <x:v>ChatSTL</x:v>
      </x:c>
      <x:c r="D63" s="15" t="str">
        <x:v>expected_strength</x:v>
      </x:c>
      <x:c r="E63" s="15" t="str">
        <x:v>paper_explicit_paraphrase</x:v>
      </x:c>
      <x:c r="F63" s="15" t="str">
        <x:v>Uploaded PDF: NL-STL Examples.pdf, pp.5–6, rear-vehicle passing scenario</x:v>
      </x:c>
      <x:c r="G63" s="15" t="str"/>
      <x:c r="H63" s="15" t="str">
        <x:v>autonomous driving</x:v>
      </x:c>
      <x:c r="I63" s="15" t="str">
        <x:v>translate</x:v>
      </x:c>
      <x:c r="J63" s="15" t="str">
        <x:v>Predict the behaviour of a rear vehicle, find a safe place, pull over, and allow the rear vehicle to pass while avoiding collision.</x:v>
      </x:c>
      <x:c r="K63" s="15" t="str">
        <x:v>G(collision_free) &amp; F(behavior_predicted &amp; safe_region_found &amp; pulled_over &amp; rear_vehicle_passed)</x:v>
      </x:c>
      <x:c r="L63" s="15" t="str"/>
      <x:c r="M63" s="15" t="str">
        <x:v>none</x:v>
      </x:c>
      <x:c r="N63" s="15" t="str"/>
      <x:c r="O63" s="15" t="str"/>
      <x:c r="P63" s="15" t="str"/>
      <x:c r="Q63" s="15" t="str"/>
      <x:c r="R63" s="15" t="str"/>
      <x:c r="S63" s="15" t="n">
        <x:v>3</x:v>
      </x:c>
      <x:c r="T63" s="15" t="str">
        <x:v>G,F,&amp;</x:v>
      </x:c>
      <x:c r="U63" s="15" t="str">
        <x:v>symbolic_stl</x:v>
      </x:c>
      <x:c r="V63" s="15" t="str">
        <x:v>collision_free,behavior_predicted,safe_region_found,pulled_over,rear_vehicle_passed</x:v>
      </x:c>
      <x:c r="W63" s="15" t="str"/>
    </x:row>
    <x:row r="64">
      <x:c r="A64" s="15" t="str">
        <x:v>NLSTL150-063</x:v>
      </x:c>
      <x:c r="B64" s="15" t="str">
        <x:v>paper_supported</x:v>
      </x:c>
      <x:c r="C64" s="15" t="str">
        <x:v>ChatSTL</x:v>
      </x:c>
      <x:c r="D64" s="15" t="str">
        <x:v>expected_strength</x:v>
      </x:c>
      <x:c r="E64" s="15" t="str">
        <x:v>paper_explicit_paraphrase</x:v>
      </x:c>
      <x:c r="F64" s="15" t="str">
        <x:v>Uploaded PDF: NL-STL Examples.pdf, pp.5–6, construction-zone scenario</x:v>
      </x:c>
      <x:c r="G64" s="15" t="str"/>
      <x:c r="H64" s="15" t="str">
        <x:v>autonomous driving</x:v>
      </x:c>
      <x:c r="I64" s="15" t="str">
        <x:v>translate</x:v>
      </x:c>
      <x:c r="J64" s="15" t="str">
        <x:v>Recognize a construction-zone obstruction, safely merge into the adjacent lane, and continue without disrupting either vehicle.</x:v>
      </x:c>
      <x:c r="K64" s="15" t="str">
        <x:v>G(collision_free) &amp; F(construction_detected &amp; safe_gap_found &amp; lane_merge_completed &amp; journey_resumed)</x:v>
      </x:c>
      <x:c r="L64" s="15" t="str"/>
      <x:c r="M64" s="15" t="str">
        <x:v>none</x:v>
      </x:c>
      <x:c r="N64" s="15" t="str"/>
      <x:c r="O64" s="15" t="str"/>
      <x:c r="P64" s="15" t="str"/>
      <x:c r="Q64" s="15" t="str"/>
      <x:c r="R64" s="15" t="str"/>
      <x:c r="S64" s="15" t="n">
        <x:v>3</x:v>
      </x:c>
      <x:c r="T64" s="15" t="str">
        <x:v>G,F,&amp;</x:v>
      </x:c>
      <x:c r="U64" s="15" t="str">
        <x:v>symbolic_stl</x:v>
      </x:c>
      <x:c r="V64" s="15" t="str">
        <x:v>collision_free,construction_detected,safe_gap_found,lane_merge_completed,journey_resumed</x:v>
      </x:c>
      <x:c r="W64" s="15" t="str"/>
    </x:row>
    <x:row r="65">
      <x:c r="A65" s="15" t="str">
        <x:v>NLSTL150-064</x:v>
      </x:c>
      <x:c r="B65" s="15" t="str">
        <x:v>paper_supported</x:v>
      </x:c>
      <x:c r="C65" s="15" t="str">
        <x:v>ChatSTL</x:v>
      </x:c>
      <x:c r="D65" s="15" t="str">
        <x:v>expected_strength</x:v>
      </x:c>
      <x:c r="E65" s="15" t="str">
        <x:v>paper_explicit_paraphrase</x:v>
      </x:c>
      <x:c r="F65" s="15" t="str">
        <x:v>Uploaded PDF: NL-STL Examples.pdf, pp.5–6, emergency-vehicle scenario</x:v>
      </x:c>
      <x:c r="G65" s="15" t="str"/>
      <x:c r="H65" s="15" t="str">
        <x:v>autonomous driving</x:v>
      </x:c>
      <x:c r="I65" s="15" t="str">
        <x:v>translate</x:v>
      </x:c>
      <x:c r="J65" s="15" t="str">
        <x:v>When an emergency vehicle approaches from behind, identify it, yield promptly by moving to a slower lane or pulling over, and allow it to pass safely.</x:v>
      </x:c>
      <x:c r="K65" s="15" t="str">
        <x:v>G(collision_free) &amp; G(emergency_vehicle_detected -&gt; F(yielded &amp; emergency_vehicle_passed))</x:v>
      </x:c>
      <x:c r="L65" s="15" t="str"/>
      <x:c r="M65" s="15" t="str">
        <x:v>none</x:v>
      </x:c>
      <x:c r="N65" s="15" t="str"/>
      <x:c r="O65" s="15" t="str"/>
      <x:c r="P65" s="15" t="str"/>
      <x:c r="Q65" s="15" t="str"/>
      <x:c r="R65" s="15" t="str"/>
      <x:c r="S65" s="15" t="n">
        <x:v>4</x:v>
      </x:c>
      <x:c r="T65" s="15" t="str">
        <x:v>G,F,&amp;,-&gt;</x:v>
      </x:c>
      <x:c r="U65" s="15" t="str">
        <x:v>symbolic_stl</x:v>
      </x:c>
      <x:c r="V65" s="15" t="str">
        <x:v>collision_free,emergency_vehicle_detected,yielded,emergency_vehicle_passed</x:v>
      </x:c>
      <x:c r="W65" s="15" t="str"/>
    </x:row>
    <x:row r="66">
      <x:c r="A66" s="15" t="str">
        <x:v>NLSTL150-065</x:v>
      </x:c>
      <x:c r="B66" s="15" t="str">
        <x:v>paper_supported</x:v>
      </x:c>
      <x:c r="C66" s="15" t="str">
        <x:v>ChatSTL</x:v>
      </x:c>
      <x:c r="D66" s="15" t="str">
        <x:v>expected_strength</x:v>
      </x:c>
      <x:c r="E66" s="15" t="str">
        <x:v>paper_explicit_paraphrase</x:v>
      </x:c>
      <x:c r="F66" s="15" t="str">
        <x:v>Uploaded PDF: NL-STL Examples.pdf, pp.5–6, blocked-parking-space scenario</x:v>
      </x:c>
      <x:c r="G66" s="15" t="str"/>
      <x:c r="H66" s="15" t="str">
        <x:v>autonomous driving</x:v>
      </x:c>
      <x:c r="I66" s="15" t="str">
        <x:v>translate</x:v>
      </x:c>
      <x:c r="J66" s="15" t="str">
        <x:v>When another parked vehicle blocks the front of the parking space, manoeuvre to clear it and leave without colliding with surrounding traffic.</x:v>
      </x:c>
      <x:c r="K66" s="15" t="str">
        <x:v>G(collision_free) &amp; F(obstruction_acknowledged &amp; parking_space_cleared &amp; exit_completed)</x:v>
      </x:c>
      <x:c r="L66" s="15" t="str"/>
      <x:c r="M66" s="15" t="str">
        <x:v>none</x:v>
      </x:c>
      <x:c r="N66" s="15" t="str"/>
      <x:c r="O66" s="15" t="str"/>
      <x:c r="P66" s="15" t="str"/>
      <x:c r="Q66" s="15" t="str"/>
      <x:c r="R66" s="15" t="str"/>
      <x:c r="S66" s="15" t="n">
        <x:v>3</x:v>
      </x:c>
      <x:c r="T66" s="15" t="str">
        <x:v>G,F,&amp;</x:v>
      </x:c>
      <x:c r="U66" s="15" t="str">
        <x:v>symbolic_stl</x:v>
      </x:c>
      <x:c r="V66" s="15" t="str">
        <x:v>collision_free,obstruction_acknowledged,parking_space_cleared,exit_completed</x:v>
      </x:c>
      <x:c r="W66" s="15" t="str"/>
    </x:row>
    <x:row r="67">
      <x:c r="A67" s="15" t="str">
        <x:v>NLSTL150-066</x:v>
      </x:c>
      <x:c r="B67" s="15" t="str">
        <x:v>paper_challenge</x:v>
      </x:c>
      <x:c r="C67" s="15" t="str">
        <x:v>ChatSTL</x:v>
      </x:c>
      <x:c r="D67" s="15" t="str">
        <x:v>limitation_probe</x:v>
      </x:c>
      <x:c r="E67" s="15" t="str">
        <x:v>limitation_constructed</x:v>
      </x:c>
      <x:c r="F67" s="15" t="str">
        <x:v>Constructed from the AV-domain and restricted-template limitations reflected in the uploaded examples</x:v>
      </x:c>
      <x:c r="G67" s="15" t="str"/>
      <x:c r="H67" s="15" t="str">
        <x:v>autonomous driving</x:v>
      </x:c>
      <x:c r="I67" s="15" t="str">
        <x:v>translate</x:v>
      </x:c>
      <x:c r="J67" s="15" t="str">
        <x:v>The right lane is blocked. Merge left within 5 seconds while remaining at least 2 metres from every vehicle.</x:v>
      </x:c>
      <x:c r="K67" s="15" t="str">
        <x:v>F[0,5](lane_left = 1) &amp; G[0,5](min_vehicle_distance &gt;= 2)</x:v>
      </x:c>
      <x:c r="L67" s="15" t="str"/>
      <x:c r="M67" s="15" t="str">
        <x:v>none</x:v>
      </x:c>
      <x:c r="N67" s="15" t="str"/>
      <x:c r="O67" s="15" t="str"/>
      <x:c r="P67" s="15" t="str"/>
      <x:c r="Q67" s="15" t="str"/>
      <x:c r="R67" s="15" t="str">
        <x:v>Fixed symbolic templates may omit real-valued thresholds and deadlines</x:v>
      </x:c>
      <x:c r="S67" s="15" t="n">
        <x:v>4</x:v>
      </x:c>
      <x:c r="T67" s="15" t="str">
        <x:v>F,G,&amp;</x:v>
      </x:c>
      <x:c r="U67" s="15" t="str">
        <x:v>symbolic_or_numeric_stl</x:v>
      </x:c>
      <x:c r="V67" s="15" t="str"/>
      <x:c r="W67" s="15" t="str"/>
    </x:row>
    <x:row r="68">
      <x:c r="A68" s="15" t="str">
        <x:v>NLSTL150-067</x:v>
      </x:c>
      <x:c r="B68" s="15" t="str">
        <x:v>paper_challenge</x:v>
      </x:c>
      <x:c r="C68" s="15" t="str">
        <x:v>ChatSTL</x:v>
      </x:c>
      <x:c r="D68" s="15" t="str">
        <x:v>limitation_probe</x:v>
      </x:c>
      <x:c r="E68" s="15" t="str">
        <x:v>limitation_constructed</x:v>
      </x:c>
      <x:c r="F68" s="15" t="str">
        <x:v>Constructed from the AV-domain and restricted-template limitations reflected in the uploaded examples</x:v>
      </x:c>
      <x:c r="G68" s="15" t="str"/>
      <x:c r="H68" s="15" t="str">
        <x:v>autonomous driving</x:v>
      </x:c>
      <x:c r="I68" s="15" t="str">
        <x:v>translate</x:v>
      </x:c>
      <x:c r="J68" s="15" t="str">
        <x:v>During the lane change, keep time-to-collision above 3 seconds until the vehicle is fully in the new lane.</x:v>
      </x:c>
      <x:c r="K68" s="15" t="str">
        <x:v>(ttc &gt; 3) U (lane_change_complete = 1)</x:v>
      </x:c>
      <x:c r="L68" s="15" t="str"/>
      <x:c r="M68" s="15" t="str">
        <x:v>none</x:v>
      </x:c>
      <x:c r="N68" s="15" t="str"/>
      <x:c r="O68" s="15" t="str"/>
      <x:c r="P68" s="15" t="str"/>
      <x:c r="Q68" s="15" t="str"/>
      <x:c r="R68" s="15" t="str">
        <x:v>Continuous safety predicate coupled to manoeuvre completion</x:v>
      </x:c>
      <x:c r="S68" s="15" t="n">
        <x:v>4</x:v>
      </x:c>
      <x:c r="T68" s="15" t="str">
        <x:v>U</x:v>
      </x:c>
      <x:c r="U68" s="15" t="str">
        <x:v>symbolic_or_numeric_stl</x:v>
      </x:c>
      <x:c r="V68" s="15" t="str"/>
      <x:c r="W68" s="15" t="str"/>
    </x:row>
    <x:row r="69">
      <x:c r="A69" s="15" t="str">
        <x:v>NLSTL150-068</x:v>
      </x:c>
      <x:c r="B69" s="15" t="str">
        <x:v>paper_challenge</x:v>
      </x:c>
      <x:c r="C69" s="15" t="str">
        <x:v>ChatSTL</x:v>
      </x:c>
      <x:c r="D69" s="15" t="str">
        <x:v>limitation_probe</x:v>
      </x:c>
      <x:c r="E69" s="15" t="str">
        <x:v>limitation_constructed</x:v>
      </x:c>
      <x:c r="F69" s="15" t="str">
        <x:v>Constructed from the AV-domain and restricted-template limitations reflected in the uploaded examples</x:v>
      </x:c>
      <x:c r="G69" s="15" t="str"/>
      <x:c r="H69" s="15" t="str">
        <x:v>autonomous driving</x:v>
      </x:c>
      <x:c r="I69" s="15" t="str">
        <x:v>translate</x:v>
      </x:c>
      <x:c r="J69" s="15" t="str">
        <x:v>Merge only after both the motorcycle in the blind spot and the car ahead are at least 5 metres away.</x:v>
      </x:c>
      <x:c r="K69" s="15" t="str">
        <x:v>G(merge_started -&gt; ((motorcycle_distance &gt;= 5) &amp; (lead_vehicle_distance &gt;= 5)))</x:v>
      </x:c>
      <x:c r="L69" s="15" t="str"/>
      <x:c r="M69" s="15" t="str">
        <x:v>none</x:v>
      </x:c>
      <x:c r="N69" s="15" t="str"/>
      <x:c r="O69" s="15" t="str"/>
      <x:c r="P69" s="15" t="str"/>
      <x:c r="Q69" s="15" t="str"/>
      <x:c r="R69" s="15" t="str">
        <x:v>Multiple dynamic entities rather than one blocked object</x:v>
      </x:c>
      <x:c r="S69" s="15" t="n">
        <x:v>4</x:v>
      </x:c>
      <x:c r="T69" s="15" t="str">
        <x:v>G,&amp;,-&gt;</x:v>
      </x:c>
      <x:c r="U69" s="15" t="str">
        <x:v>symbolic_or_numeric_stl</x:v>
      </x:c>
      <x:c r="V69" s="15" t="str"/>
      <x:c r="W69" s="15" t="str"/>
    </x:row>
    <x:row r="70">
      <x:c r="A70" s="15" t="str">
        <x:v>NLSTL150-069</x:v>
      </x:c>
      <x:c r="B70" s="15" t="str">
        <x:v>paper_challenge</x:v>
      </x:c>
      <x:c r="C70" s="15" t="str">
        <x:v>ChatSTL</x:v>
      </x:c>
      <x:c r="D70" s="15" t="str">
        <x:v>limitation_probe</x:v>
      </x:c>
      <x:c r="E70" s="15" t="str">
        <x:v>limitation_constructed</x:v>
      </x:c>
      <x:c r="F70" s="15" t="str">
        <x:v>Constructed from the AV-domain and restricted-template limitations reflected in the uploaded examples</x:v>
      </x:c>
      <x:c r="G70" s="15" t="str"/>
      <x:c r="H70" s="15" t="str">
        <x:v>autonomous driving</x:v>
      </x:c>
      <x:c r="I70" s="15" t="str">
        <x:v>translate</x:v>
      </x:c>
      <x:c r="J70" s="15" t="str">
        <x:v>Proceed through the intersection only when the light is green and no pedestrian is in the crosswalk.</x:v>
      </x:c>
      <x:c r="K70" s="15" t="str">
        <x:v>G(proceed -&gt; ((light_green = 1) &amp; (pedestrian_in_crosswalk = 0)))</x:v>
      </x:c>
      <x:c r="L70" s="15" t="str"/>
      <x:c r="M70" s="15" t="str">
        <x:v>none</x:v>
      </x:c>
      <x:c r="N70" s="15" t="str"/>
      <x:c r="O70" s="15" t="str"/>
      <x:c r="P70" s="15" t="str"/>
      <x:c r="Q70" s="15" t="str"/>
      <x:c r="R70" s="15" t="str">
        <x:v>Interaction of traffic rules and vulnerable road users</x:v>
      </x:c>
      <x:c r="S70" s="15" t="n">
        <x:v>4</x:v>
      </x:c>
      <x:c r="T70" s="15" t="str">
        <x:v>G,&amp;,-&gt;</x:v>
      </x:c>
      <x:c r="U70" s="15" t="str">
        <x:v>symbolic_or_numeric_stl</x:v>
      </x:c>
      <x:c r="V70" s="15" t="str"/>
      <x:c r="W70" s="15" t="str"/>
    </x:row>
    <x:row r="71">
      <x:c r="A71" s="15" t="str">
        <x:v>NLSTL150-070</x:v>
      </x:c>
      <x:c r="B71" s="15" t="str">
        <x:v>paper_challenge</x:v>
      </x:c>
      <x:c r="C71" s="15" t="str">
        <x:v>ChatSTL</x:v>
      </x:c>
      <x:c r="D71" s="15" t="str">
        <x:v>limitation_probe</x:v>
      </x:c>
      <x:c r="E71" s="15" t="str">
        <x:v>limitation_constructed</x:v>
      </x:c>
      <x:c r="F71" s="15" t="str">
        <x:v>Constructed from the AV-domain and restricted-template limitations reflected in the uploaded examples</x:v>
      </x:c>
      <x:c r="G71" s="15" t="str"/>
      <x:c r="H71" s="15" t="str">
        <x:v>autonomous driving</x:v>
      </x:c>
      <x:c r="I71" s="15" t="str">
        <x:v>clarify_then_translate</x:v>
      </x:c>
      <x:c r="J71" s="15" t="str">
        <x:v>Slow down when an occluded pedestrian might emerge from behind the van.</x:v>
      </x:c>
      <x:c r="K71" s="15" t="str"/>
      <x:c r="L71" s="15" t="str"/>
      <x:c r="M71" s="15" t="str">
        <x:v>conditional_vagueness</x:v>
      </x:c>
      <x:c r="N71" s="15" t="str">
        <x:v>What observable signal should trigger slowing, and what speed limit should apply?</x:v>
      </x:c>
      <x:c r="O71" s="15" t="str">
        <x:v>Trigger when occlusion_risk exceeds 0.7; reduce speed below 5 m/s within 1 second.</x:v>
      </x:c>
      <x:c r="P71" s="15" t="str">
        <x:v>Whenever occlusion risk exceeds 0.7, speed must become lower than 5 m/s within 1 second.</x:v>
      </x:c>
      <x:c r="Q71" s="15" t="str">
        <x:v>G((occlusion_risk &gt; 0.7) -&gt; F[0,1](speed &lt; 5))</x:v>
      </x:c>
      <x:c r="R71" s="15" t="str">
        <x:v>Uncertain or probabilistic perception is not ordinary deterministic STL</x:v>
      </x:c>
      <x:c r="S71" s="15" t="n">
        <x:v>5</x:v>
      </x:c>
      <x:c r="T71" s="15" t="str">
        <x:v>various</x:v>
      </x:c>
      <x:c r="U71" s="15" t="str">
        <x:v>symbolic_or_numeric_stl</x:v>
      </x:c>
      <x:c r="V71" s="15" t="str"/>
      <x:c r="W71" s="15" t="str"/>
    </x:row>
    <x:row r="72">
      <x:c r="A72" s="15" t="str">
        <x:v>NLSTL150-071</x:v>
      </x:c>
      <x:c r="B72" s="15" t="str">
        <x:v>paper_challenge</x:v>
      </x:c>
      <x:c r="C72" s="15" t="str">
        <x:v>ChatSTL</x:v>
      </x:c>
      <x:c r="D72" s="15" t="str">
        <x:v>limitation_probe</x:v>
      </x:c>
      <x:c r="E72" s="15" t="str">
        <x:v>limitation_constructed</x:v>
      </x:c>
      <x:c r="F72" s="15" t="str">
        <x:v>Constructed from the AV-domain and restricted-template limitations reflected in the uploaded examples</x:v>
      </x:c>
      <x:c r="G72" s="15" t="str"/>
      <x:c r="H72" s="15" t="str">
        <x:v>autonomous driving</x:v>
      </x:c>
      <x:c r="I72" s="15" t="str">
        <x:v>abstain_or_request_context</x:v>
      </x:c>
      <x:c r="J72" s="15" t="str">
        <x:v>Yield to the ambulance, but do not cross the solid lane boundary.</x:v>
      </x:c>
      <x:c r="K72" s="15" t="str"/>
      <x:c r="L72" s="15" t="str"/>
      <x:c r="M72" s="15" t="str">
        <x:v>inconsistent_or_infeasible</x:v>
      </x:c>
      <x:c r="N72" s="15" t="str"/>
      <x:c r="O72" s="15" t="str"/>
      <x:c r="P72" s="15" t="str"/>
      <x:c r="Q72" s="15" t="str"/>
      <x:c r="R72" s="15" t="str">
        <x:v>Potentially conflicting legal and emergency objectives</x:v>
      </x:c>
      <x:c r="S72" s="15" t="n">
        <x:v>5</x:v>
      </x:c>
      <x:c r="T72" s="15" t="str">
        <x:v>various</x:v>
      </x:c>
      <x:c r="U72" s="15" t="str">
        <x:v>symbolic_or_numeric_stl</x:v>
      </x:c>
      <x:c r="V72" s="15" t="str"/>
      <x:c r="W72" s="15" t="str"/>
    </x:row>
    <x:row r="73">
      <x:c r="A73" s="15" t="str">
        <x:v>NLSTL150-072</x:v>
      </x:c>
      <x:c r="B73" s="15" t="str">
        <x:v>paper_challenge</x:v>
      </x:c>
      <x:c r="C73" s="15" t="str">
        <x:v>ChatSTL</x:v>
      </x:c>
      <x:c r="D73" s="15" t="str">
        <x:v>limitation_probe</x:v>
      </x:c>
      <x:c r="E73" s="15" t="str">
        <x:v>limitation_constructed</x:v>
      </x:c>
      <x:c r="F73" s="15" t="str">
        <x:v>Constructed from the AV-domain and restricted-template limitations reflected in the uploaded examples</x:v>
      </x:c>
      <x:c r="G73" s="15" t="str"/>
      <x:c r="H73" s="15" t="str">
        <x:v>autonomous driving</x:v>
      </x:c>
      <x:c r="I73" s="15" t="str">
        <x:v>clarify_then_translate</x:v>
      </x:c>
      <x:c r="J73" s="15" t="str">
        <x:v>An ambulance approaches while the right lane is closed for construction; find a safe response within 4 seconds.</x:v>
      </x:c>
      <x:c r="K73" s="15" t="str"/>
      <x:c r="L73" s="15" t="str"/>
      <x:c r="M73" s="15" t="str">
        <x:v>conditional_vagueness</x:v>
      </x:c>
      <x:c r="N73" s="15" t="str">
        <x:v>Which manoeuvres are legally and physically available, and what predicate defines a safe response?</x:v>
      </x:c>
      <x:c r="O73" s="15" t="str">
        <x:v>The shoulder is available; move onto it within 4 seconds while keeping 2 metres separation.</x:v>
      </x:c>
      <x:c r="P73" s="15" t="str">
        <x:v>Move onto the shoulder within 4 seconds and maintain at least 2 metres separation.</x:v>
      </x:c>
      <x:c r="Q73" s="15" t="str">
        <x:v>F[0,4](on_shoulder = 1) &amp; G[0,4](min_vehicle_distance &gt;= 2)</x:v>
      </x:c>
      <x:c r="R73" s="15" t="str">
        <x:v>Two blocked-scenario templates interact and may require planning context</x:v>
      </x:c>
      <x:c r="S73" s="15" t="n">
        <x:v>5</x:v>
      </x:c>
      <x:c r="T73" s="15" t="str">
        <x:v>various</x:v>
      </x:c>
      <x:c r="U73" s="15" t="str">
        <x:v>symbolic_or_numeric_stl</x:v>
      </x:c>
      <x:c r="V73" s="15" t="str"/>
      <x:c r="W73" s="15" t="str"/>
    </x:row>
    <x:row r="74">
      <x:c r="A74" s="15" t="str">
        <x:v>NLSTL150-073</x:v>
      </x:c>
      <x:c r="B74" s="15" t="str">
        <x:v>paper_challenge</x:v>
      </x:c>
      <x:c r="C74" s="15" t="str">
        <x:v>ChatSTL</x:v>
      </x:c>
      <x:c r="D74" s="15" t="str">
        <x:v>limitation_probe</x:v>
      </x:c>
      <x:c r="E74" s="15" t="str">
        <x:v>limitation_constructed</x:v>
      </x:c>
      <x:c r="F74" s="15" t="str">
        <x:v>Constructed from the AV-domain and restricted-template limitations reflected in the uploaded examples</x:v>
      </x:c>
      <x:c r="G74" s="15" t="str"/>
      <x:c r="H74" s="15" t="str">
        <x:v>autonomous driving</x:v>
      </x:c>
      <x:c r="I74" s="15" t="str">
        <x:v>translate</x:v>
      </x:c>
      <x:c r="J74" s="15" t="str">
        <x:v>Enter the roundabout after yielding to circulating traffic and take the third exit.</x:v>
      </x:c>
      <x:c r="K74" s="15" t="str">
        <x:v>((yielding = 1) U (safe_gap = 1)) &amp; F(third_exit_taken = 1)</x:v>
      </x:c>
      <x:c r="L74" s="15" t="str"/>
      <x:c r="M74" s="15" t="str">
        <x:v>none</x:v>
      </x:c>
      <x:c r="N74" s="15" t="str"/>
      <x:c r="O74" s="15" t="str"/>
      <x:c r="P74" s="15" t="str"/>
      <x:c r="Q74" s="15" t="str"/>
      <x:c r="R74" s="15" t="str">
        <x:v>Scenario outside narrow-road and blockage templates</x:v>
      </x:c>
      <x:c r="S74" s="15" t="n">
        <x:v>4</x:v>
      </x:c>
      <x:c r="T74" s="15" t="str">
        <x:v>U,F,&amp;</x:v>
      </x:c>
      <x:c r="U74" s="15" t="str">
        <x:v>symbolic_or_numeric_stl</x:v>
      </x:c>
      <x:c r="V74" s="15" t="str"/>
      <x:c r="W74" s="15" t="str"/>
    </x:row>
    <x:row r="75">
      <x:c r="A75" s="15" t="str">
        <x:v>NLSTL150-074</x:v>
      </x:c>
      <x:c r="B75" s="15" t="str">
        <x:v>paper_challenge</x:v>
      </x:c>
      <x:c r="C75" s="15" t="str">
        <x:v>ChatSTL</x:v>
      </x:c>
      <x:c r="D75" s="15" t="str">
        <x:v>limitation_probe</x:v>
      </x:c>
      <x:c r="E75" s="15" t="str">
        <x:v>limitation_constructed</x:v>
      </x:c>
      <x:c r="F75" s="15" t="str">
        <x:v>Constructed from the AV-domain and restricted-template limitations reflected in the uploaded examples</x:v>
      </x:c>
      <x:c r="G75" s="15" t="str"/>
      <x:c r="H75" s="15" t="str">
        <x:v>autonomous driving</x:v>
      </x:c>
      <x:c r="I75" s="15" t="str">
        <x:v>translate</x:v>
      </x:c>
      <x:c r="J75" s="15" t="str">
        <x:v>Perform a U-turn only after confirming that both directions are clear for 4 seconds.</x:v>
      </x:c>
      <x:c r="K75" s="15" t="str">
        <x:v>G(u_turn_started -&gt; H[0,4]((left_clear = 1) &amp; (right_clear = 1)))</x:v>
      </x:c>
      <x:c r="L75" s="15" t="str"/>
      <x:c r="M75" s="15" t="str">
        <x:v>none</x:v>
      </x:c>
      <x:c r="N75" s="15" t="str"/>
      <x:c r="O75" s="15" t="str"/>
      <x:c r="P75" s="15" t="str"/>
      <x:c r="Q75" s="15" t="str"/>
      <x:c r="R75" s="15" t="str">
        <x:v>Past-time precondition and unsupported manoeuvre</x:v>
      </x:c>
      <x:c r="S75" s="15" t="n">
        <x:v>5</x:v>
      </x:c>
      <x:c r="T75" s="15" t="str">
        <x:v>G,H,&amp;,-&gt;</x:v>
      </x:c>
      <x:c r="U75" s="15" t="str">
        <x:v>symbolic_or_numeric_stl</x:v>
      </x:c>
      <x:c r="V75" s="15" t="str"/>
      <x:c r="W75" s="15" t="str"/>
    </x:row>
    <x:row r="76">
      <x:c r="A76" s="15" t="str">
        <x:v>NLSTL150-075</x:v>
      </x:c>
      <x:c r="B76" s="15" t="str">
        <x:v>paper_challenge</x:v>
      </x:c>
      <x:c r="C76" s="15" t="str">
        <x:v>ChatSTL</x:v>
      </x:c>
      <x:c r="D76" s="15" t="str">
        <x:v>limitation_probe</x:v>
      </x:c>
      <x:c r="E76" s="15" t="str">
        <x:v>limitation_constructed</x:v>
      </x:c>
      <x:c r="F76" s="15" t="str">
        <x:v>Constructed from the AV-domain and restricted-template limitations reflected in the uploaded examples</x:v>
      </x:c>
      <x:c r="G76" s="15" t="str"/>
      <x:c r="H76" s="15" t="str">
        <x:v>autonomous driving</x:v>
      </x:c>
      <x:c r="I76" s="15" t="str">
        <x:v>translate</x:v>
      </x:c>
      <x:c r="J76" s="15" t="str">
        <x:v>Within 30 seconds, move to the right lane, remain there for at least 5 seconds, and then take the exit.</x:v>
      </x:c>
      <x:c r="K76" s="15" t="str">
        <x:v>F[0,30]((right_lane = 1) &amp; G[0,5](right_lane = 1) &amp; F(exit_taken = 1))</x:v>
      </x:c>
      <x:c r="L76" s="15" t="str"/>
      <x:c r="M76" s="15" t="str">
        <x:v>none</x:v>
      </x:c>
      <x:c r="N76" s="15" t="str"/>
      <x:c r="O76" s="15" t="str"/>
      <x:c r="P76" s="15" t="str"/>
      <x:c r="Q76" s="15" t="str"/>
      <x:c r="R76" s="15" t="str">
        <x:v>Longer sequential task with nested temporal structure</x:v>
      </x:c>
      <x:c r="S76" s="15" t="n">
        <x:v>5</x:v>
      </x:c>
      <x:c r="T76" s="15" t="str">
        <x:v>F,G,&amp;</x:v>
      </x:c>
      <x:c r="U76" s="15" t="str">
        <x:v>symbolic_or_numeric_stl</x:v>
      </x:c>
      <x:c r="V76" s="15" t="str"/>
      <x:c r="W76" s="15" t="str"/>
    </x:row>
    <x:row r="77">
      <x:c r="A77" s="15" t="str">
        <x:v>NLSTL150-076</x:v>
      </x:c>
      <x:c r="B77" s="15" t="str">
        <x:v>paper_challenge</x:v>
      </x:c>
      <x:c r="C77" s="15" t="str">
        <x:v>ChatSTL</x:v>
      </x:c>
      <x:c r="D77" s="15" t="str">
        <x:v>limitation_probe</x:v>
      </x:c>
      <x:c r="E77" s="15" t="str">
        <x:v>limitation_constructed</x:v>
      </x:c>
      <x:c r="F77" s="15" t="str">
        <x:v>Constructed from the AV-domain and restricted-template limitations reflected in the uploaded examples</x:v>
      </x:c>
      <x:c r="G77" s="15" t="str"/>
      <x:c r="H77" s="15" t="str">
        <x:v>autonomous driving</x:v>
      </x:c>
      <x:c r="I77" s="15" t="str">
        <x:v>translate</x:v>
      </x:c>
      <x:c r="J77" s="15" t="str">
        <x:v>Visit checkpoint A, then B, and arrive at the destination within 10 minutes without entering toll roads.</x:v>
      </x:c>
      <x:c r="K77" s="15" t="str">
        <x:v>F[0,600](checkpoint_A &amp; F(checkpoint_B &amp; F(destination))) &amp; G(!(toll_road = 1))</x:v>
      </x:c>
      <x:c r="L77" s="15" t="str"/>
      <x:c r="M77" s="15" t="str">
        <x:v>none</x:v>
      </x:c>
      <x:c r="N77" s="15" t="str"/>
      <x:c r="O77" s="15" t="str"/>
      <x:c r="P77" s="15" t="str"/>
      <x:c r="Q77" s="15" t="str"/>
      <x:c r="R77" s="15" t="str">
        <x:v>Route-level planning beyond local blocked-scenario control</x:v>
      </x:c>
      <x:c r="S77" s="15" t="n">
        <x:v>5</x:v>
      </x:c>
      <x:c r="T77" s="15" t="str">
        <x:v>F,G,!,&amp;</x:v>
      </x:c>
      <x:c r="U77" s="15" t="str">
        <x:v>symbolic_or_numeric_stl</x:v>
      </x:c>
      <x:c r="V77" s="15" t="str"/>
      <x:c r="W77" s="15" t="str"/>
    </x:row>
    <x:row r="78">
      <x:c r="A78" s="15" t="str">
        <x:v>NLSTL150-077</x:v>
      </x:c>
      <x:c r="B78" s="15" t="str">
        <x:v>paper_challenge</x:v>
      </x:c>
      <x:c r="C78" s="15" t="str">
        <x:v>ChatSTL</x:v>
      </x:c>
      <x:c r="D78" s="15" t="str">
        <x:v>limitation_probe</x:v>
      </x:c>
      <x:c r="E78" s="15" t="str">
        <x:v>limitation_constructed</x:v>
      </x:c>
      <x:c r="F78" s="15" t="str">
        <x:v>Constructed from the AV-domain and restricted-template limitations reflected in the uploaded examples</x:v>
      </x:c>
      <x:c r="G78" s="15" t="str"/>
      <x:c r="H78" s="15" t="str">
        <x:v>autonomous driving</x:v>
      </x:c>
      <x:c r="I78" s="15" t="str">
        <x:v>clarify_then_translate</x:v>
      </x:c>
      <x:c r="J78" s="15" t="str">
        <x:v>Drive cautiously in heavy fog.</x:v>
      </x:c>
      <x:c r="K78" s="15" t="str"/>
      <x:c r="L78" s="15" t="str"/>
      <x:c r="M78" s="15" t="str">
        <x:v>numerical_and_conditional_vagueness</x:v>
      </x:c>
      <x:c r="N78" s="15" t="str">
        <x:v>What visibility defines heavy fog, and what maximum speed defines cautious driving?</x:v>
      </x:c>
      <x:c r="O78" s="15" t="str">
        <x:v>Heavy fog means visibility below 50 metres; speed must remain below 10 m/s.</x:v>
      </x:c>
      <x:c r="P78" s="15" t="str">
        <x:v>Whenever visibility is below 50 metres, speed must remain below 10 m/s.</x:v>
      </x:c>
      <x:c r="Q78" s="15" t="str">
        <x:v>G((visibility &lt; 50) -&gt; (speed &lt; 10))</x:v>
      </x:c>
      <x:c r="R78" s="15" t="str">
        <x:v>Qualitative behaviour and weather terms lack thresholds</x:v>
      </x:c>
      <x:c r="S78" s="15" t="n">
        <x:v>3</x:v>
      </x:c>
      <x:c r="T78" s="15" t="str">
        <x:v>various</x:v>
      </x:c>
      <x:c r="U78" s="15" t="str">
        <x:v>symbolic_or_numeric_stl</x:v>
      </x:c>
      <x:c r="V78" s="15" t="str"/>
      <x:c r="W78" s="15" t="str"/>
    </x:row>
    <x:row r="79">
      <x:c r="A79" s="15" t="str">
        <x:v>NLSTL150-078</x:v>
      </x:c>
      <x:c r="B79" s="15" t="str">
        <x:v>paper_challenge</x:v>
      </x:c>
      <x:c r="C79" s="15" t="str">
        <x:v>ChatSTL</x:v>
      </x:c>
      <x:c r="D79" s="15" t="str">
        <x:v>limitation_probe</x:v>
      </x:c>
      <x:c r="E79" s="15" t="str">
        <x:v>limitation_constructed</x:v>
      </x:c>
      <x:c r="F79" s="15" t="str">
        <x:v>Constructed from the AV-domain and restricted-template limitations reflected in the uploaded examples</x:v>
      </x:c>
      <x:c r="G79" s="15" t="str"/>
      <x:c r="H79" s="15" t="str">
        <x:v>autonomous driving</x:v>
      </x:c>
      <x:c r="I79" s="15" t="str">
        <x:v>clarify_then_translate</x:v>
      </x:c>
      <x:c r="J79" s="15" t="str">
        <x:v>Merge when there is a safe gap.</x:v>
      </x:c>
      <x:c r="K79" s="15" t="str"/>
      <x:c r="L79" s="15" t="str"/>
      <x:c r="M79" s="15" t="str">
        <x:v>numerical_vagueness</x:v>
      </x:c>
      <x:c r="N79" s="15" t="str">
        <x:v>What front and rear distances define a safe gap?</x:v>
      </x:c>
      <x:c r="O79" s="15" t="str">
        <x:v>At least 8 metres in front and 6 metres behind.</x:v>
      </x:c>
      <x:c r="P79" s="15" t="str">
        <x:v>Merge only when front gap is at least 8 metres and rear gap at least 6 metres.</x:v>
      </x:c>
      <x:c r="Q79" s="15" t="str">
        <x:v>G(merge_started -&gt; ((front_gap &gt;= 8) &amp; (rear_gap &gt;= 6)))</x:v>
      </x:c>
      <x:c r="R79" s="15" t="str">
        <x:v>Core template predicate is undefined without quantitative grounding</x:v>
      </x:c>
      <x:c r="S79" s="15" t="n">
        <x:v>3</x:v>
      </x:c>
      <x:c r="T79" s="15" t="str">
        <x:v>various</x:v>
      </x:c>
      <x:c r="U79" s="15" t="str">
        <x:v>symbolic_or_numeric_stl</x:v>
      </x:c>
      <x:c r="V79" s="15" t="str"/>
      <x:c r="W79" s="15" t="str"/>
    </x:row>
    <x:row r="80">
      <x:c r="A80" s="15" t="str">
        <x:v>NLSTL150-079</x:v>
      </x:c>
      <x:c r="B80" s="15" t="str">
        <x:v>paper_challenge</x:v>
      </x:c>
      <x:c r="C80" s="15" t="str">
        <x:v>ChatSTL</x:v>
      </x:c>
      <x:c r="D80" s="15" t="str">
        <x:v>limitation_probe</x:v>
      </x:c>
      <x:c r="E80" s="15" t="str">
        <x:v>limitation_constructed</x:v>
      </x:c>
      <x:c r="F80" s="15" t="str">
        <x:v>Constructed from the AV-domain and restricted-template limitations reflected in the uploaded examples</x:v>
      </x:c>
      <x:c r="G80" s="15" t="str"/>
      <x:c r="H80" s="15" t="str">
        <x:v>autonomous driving</x:v>
      </x:c>
      <x:c r="I80" s="15" t="str">
        <x:v>clarify_then_translate</x:v>
      </x:c>
      <x:c r="J80" s="15" t="str">
        <x:v>When the ego vehicle passes the truck near the bus, it must slow down.</x:v>
      </x:c>
      <x:c r="K80" s="15" t="str"/>
      <x:c r="L80" s="15" t="str"/>
      <x:c r="M80" s="15" t="str">
        <x:v>referential_ambiguity</x:v>
      </x:c>
      <x:c r="N80" s="15" t="str">
        <x:v>Which vehicle must slow down, and is the truck or ego vehicle near the bus?</x:v>
      </x:c>
      <x:c r="O80" s="15" t="str">
        <x:v>The ego vehicle must slow down; the truck is near the bus.</x:v>
      </x:c>
      <x:c r="P80" s="15" t="str">
        <x:v>When the ego vehicle passes the truck that is near the bus, ego speed must fall below 8 m/s.</x:v>
      </x:c>
      <x:c r="Q80" s="15" t="str">
        <x:v>G(pass_truck_near_bus -&gt; F[0,2](ego_speed &lt; 8))</x:v>
      </x:c>
      <x:c r="R80" s="15" t="str">
        <x:v>Ambiguous pronoun and spatial attachment</x:v>
      </x:c>
      <x:c r="S80" s="15" t="n">
        <x:v>4</x:v>
      </x:c>
      <x:c r="T80" s="15" t="str">
        <x:v>various</x:v>
      </x:c>
      <x:c r="U80" s="15" t="str">
        <x:v>symbolic_or_numeric_stl</x:v>
      </x:c>
      <x:c r="V80" s="15" t="str"/>
      <x:c r="W80" s="15" t="str"/>
    </x:row>
    <x:row r="81">
      <x:c r="A81" s="15" t="str">
        <x:v>NLSTL150-080</x:v>
      </x:c>
      <x:c r="B81" s="15" t="str">
        <x:v>paper_challenge</x:v>
      </x:c>
      <x:c r="C81" s="15" t="str">
        <x:v>ChatSTL</x:v>
      </x:c>
      <x:c r="D81" s="15" t="str">
        <x:v>limitation_probe</x:v>
      </x:c>
      <x:c r="E81" s="15" t="str">
        <x:v>limitation_constructed</x:v>
      </x:c>
      <x:c r="F81" s="15" t="str">
        <x:v>Constructed from the AV-domain and restricted-template limitations reflected in the uploaded examples</x:v>
      </x:c>
      <x:c r="G81" s="15" t="str"/>
      <x:c r="H81" s="15" t="str">
        <x:v>autonomous driving</x:v>
      </x:c>
      <x:c r="I81" s="15" t="str">
        <x:v>translate</x:v>
      </x:c>
      <x:c r="J81" s="15" t="str">
        <x:v>If the planned lane becomes closed after the manoeuvre begins, immediately replan.</x:v>
      </x:c>
      <x:c r="K81" s="15" t="str">
        <x:v>G(rise(lane_closed = 1) -&gt; F[0,1](replanning = 1))</x:v>
      </x:c>
      <x:c r="L81" s="15" t="str"/>
      <x:c r="M81" s="15" t="str">
        <x:v>none</x:v>
      </x:c>
      <x:c r="N81" s="15" t="str"/>
      <x:c r="O81" s="15" t="str"/>
      <x:c r="P81" s="15" t="str"/>
      <x:c r="Q81" s="15" t="str"/>
      <x:c r="R81" s="15" t="str">
        <x:v>Dynamic map changes and execution-time replanning</x:v>
      </x:c>
      <x:c r="S81" s="15" t="n">
        <x:v>4</x:v>
      </x:c>
      <x:c r="T81" s="15" t="str">
        <x:v>G,F,rise,-&gt;</x:v>
      </x:c>
      <x:c r="U81" s="15" t="str">
        <x:v>symbolic_or_numeric_stl</x:v>
      </x:c>
      <x:c r="V81" s="15" t="str"/>
      <x:c r="W81" s="15" t="str"/>
    </x:row>
    <x:row r="82">
      <x:c r="A82" s="15" t="str">
        <x:v>NLSTL150-081</x:v>
      </x:c>
      <x:c r="B82" s="15" t="str">
        <x:v>paper_challenge</x:v>
      </x:c>
      <x:c r="C82" s="15" t="str">
        <x:v>ChatSTL</x:v>
      </x:c>
      <x:c r="D82" s="15" t="str">
        <x:v>limitation_probe</x:v>
      </x:c>
      <x:c r="E82" s="15" t="str">
        <x:v>limitation_constructed</x:v>
      </x:c>
      <x:c r="F82" s="15" t="str">
        <x:v>Constructed from the AV-domain and restricted-template limitations reflected in the uploaded examples</x:v>
      </x:c>
      <x:c r="G82" s="15" t="str"/>
      <x:c r="H82" s="15" t="str">
        <x:v>warehouse robotics</x:v>
      </x:c>
      <x:c r="I82" s="15" t="str">
        <x:v>translate</x:v>
      </x:c>
      <x:c r="J82" s="15" t="str">
        <x:v>The warehouse robot must pick a package and deliver it to station B within 60 seconds.</x:v>
      </x:c>
      <x:c r="K82" s="15" t="str">
        <x:v>F[0,60](package_at_station_B = 1)</x:v>
      </x:c>
      <x:c r="L82" s="15" t="str"/>
      <x:c r="M82" s="15" t="str">
        <x:v>none</x:v>
      </x:c>
      <x:c r="N82" s="15" t="str"/>
      <x:c r="O82" s="15" t="str"/>
      <x:c r="P82" s="15" t="str"/>
      <x:c r="Q82" s="15" t="str"/>
      <x:c r="R82" s="15" t="str">
        <x:v>Out-of-domain robot task for an AV-specific translator</x:v>
      </x:c>
      <x:c r="S82" s="15" t="n">
        <x:v>3</x:v>
      </x:c>
      <x:c r="T82" s="15" t="str">
        <x:v>F</x:v>
      </x:c>
      <x:c r="U82" s="15" t="str">
        <x:v>symbolic_or_numeric_stl</x:v>
      </x:c>
      <x:c r="V82" s="15" t="str"/>
      <x:c r="W82" s="15" t="str"/>
    </x:row>
    <x:row r="83">
      <x:c r="A83" s="15" t="str">
        <x:v>NLSTL150-082</x:v>
      </x:c>
      <x:c r="B83" s="15" t="str">
        <x:v>paper_challenge</x:v>
      </x:c>
      <x:c r="C83" s="15" t="str">
        <x:v>ChatSTL</x:v>
      </x:c>
      <x:c r="D83" s="15" t="str">
        <x:v>limitation_probe</x:v>
      </x:c>
      <x:c r="E83" s="15" t="str">
        <x:v>limitation_constructed</x:v>
      </x:c>
      <x:c r="F83" s="15" t="str">
        <x:v>Constructed from the AV-domain and restricted-template limitations reflected in the uploaded examples</x:v>
      </x:c>
      <x:c r="G83" s="15" t="str"/>
      <x:c r="H83" s="15" t="str">
        <x:v>drone</x:v>
      </x:c>
      <x:c r="I83" s="15" t="str">
        <x:v>translate</x:v>
      </x:c>
      <x:c r="J83" s="15" t="str">
        <x:v>The drone must remain below 120 metres and reach the inspection point within 90 seconds.</x:v>
      </x:c>
      <x:c r="K83" s="15" t="str">
        <x:v>G(altitude &lt;= 120) &amp; F[0,90](inspection_point = 1)</x:v>
      </x:c>
      <x:c r="L83" s="15" t="str"/>
      <x:c r="M83" s="15" t="str">
        <x:v>none</x:v>
      </x:c>
      <x:c r="N83" s="15" t="str"/>
      <x:c r="O83" s="15" t="str"/>
      <x:c r="P83" s="15" t="str"/>
      <x:c r="Q83" s="15" t="str"/>
      <x:c r="R83" s="15" t="str">
        <x:v>Out-of-domain aerial robot and altitude predicate</x:v>
      </x:c>
      <x:c r="S83" s="15" t="n">
        <x:v>4</x:v>
      </x:c>
      <x:c r="T83" s="15" t="str">
        <x:v>G,F,&amp;</x:v>
      </x:c>
      <x:c r="U83" s="15" t="str">
        <x:v>symbolic_or_numeric_stl</x:v>
      </x:c>
      <x:c r="V83" s="15" t="str"/>
      <x:c r="W83" s="15" t="str"/>
    </x:row>
    <x:row r="84">
      <x:c r="A84" s="15" t="str">
        <x:v>NLSTL150-083</x:v>
      </x:c>
      <x:c r="B84" s="15" t="str">
        <x:v>paper_challenge</x:v>
      </x:c>
      <x:c r="C84" s="15" t="str">
        <x:v>ChatSTL</x:v>
      </x:c>
      <x:c r="D84" s="15" t="str">
        <x:v>limitation_probe</x:v>
      </x:c>
      <x:c r="E84" s="15" t="str">
        <x:v>limitation_constructed</x:v>
      </x:c>
      <x:c r="F84" s="15" t="str">
        <x:v>Constructed from the AV-domain and restricted-template limitations reflected in the uploaded examples</x:v>
      </x:c>
      <x:c r="G84" s="15" t="str"/>
      <x:c r="H84" s="15" t="str">
        <x:v>autonomous driving</x:v>
      </x:c>
      <x:c r="I84" s="15" t="str">
        <x:v>translate</x:v>
      </x:c>
      <x:c r="J84" s="15" t="str">
        <x:v>While yielding, keep longitudinal acceleration between -2 and 1.5 m/s² and jerk below 1 m/s³.</x:v>
      </x:c>
      <x:c r="K84" s="15" t="str">
        <x:v>G(yielding -&gt; ((accel &gt;= -2) &amp; (accel &lt;= 1.5) &amp; (abs(jerk) &lt; 1)))</x:v>
      </x:c>
      <x:c r="L84" s="15" t="str"/>
      <x:c r="M84" s="15" t="str">
        <x:v>none</x:v>
      </x:c>
      <x:c r="N84" s="15" t="str"/>
      <x:c r="O84" s="15" t="str"/>
      <x:c r="P84" s="15" t="str"/>
      <x:c r="Q84" s="15" t="str"/>
      <x:c r="R84" s="15" t="str">
        <x:v>Continuous ride-comfort constraints absent from symbolic task templates</x:v>
      </x:c>
      <x:c r="S84" s="15" t="n">
        <x:v>4</x:v>
      </x:c>
      <x:c r="T84" s="15" t="str">
        <x:v>G,&amp;,abs,-&gt;</x:v>
      </x:c>
      <x:c r="U84" s="15" t="str">
        <x:v>symbolic_or_numeric_stl</x:v>
      </x:c>
      <x:c r="V84" s="15" t="str"/>
      <x:c r="W84" s="15" t="str"/>
    </x:row>
    <x:row r="85">
      <x:c r="A85" s="15" t="str">
        <x:v>NLSTL150-084</x:v>
      </x:c>
      <x:c r="B85" s="15" t="str">
        <x:v>paper_challenge</x:v>
      </x:c>
      <x:c r="C85" s="15" t="str">
        <x:v>ChatSTL</x:v>
      </x:c>
      <x:c r="D85" s="15" t="str">
        <x:v>limitation_probe</x:v>
      </x:c>
      <x:c r="E85" s="15" t="str">
        <x:v>limitation_constructed</x:v>
      </x:c>
      <x:c r="F85" s="15" t="str">
        <x:v>Constructed from the AV-domain and restricted-template limitations reflected in the uploaded examples</x:v>
      </x:c>
      <x:c r="G85" s="15" t="str"/>
      <x:c r="H85" s="15" t="str">
        <x:v>autonomous driving</x:v>
      </x:c>
      <x:c r="I85" s="15" t="str">
        <x:v>abstain_or_request_context</x:v>
      </x:c>
      <x:c r="J85" s="15" t="str">
        <x:v>Change lanes no more than twice before reaching the destination.</x:v>
      </x:c>
      <x:c r="K85" s="15" t="str"/>
      <x:c r="L85" s="15" t="str"/>
      <x:c r="M85" s="15" t="str">
        <x:v>non_stl_counting</x:v>
      </x:c>
      <x:c r="N85" s="15" t="str"/>
      <x:c r="O85" s="15" t="str"/>
      <x:c r="P85" s="15" t="str"/>
      <x:c r="Q85" s="15" t="str"/>
      <x:c r="R85" s="15" t="str">
        <x:v>Event counting not directly expressible in standard STL</x:v>
      </x:c>
      <x:c r="S85" s="15" t="n">
        <x:v>5</x:v>
      </x:c>
      <x:c r="T85" s="15" t="str">
        <x:v>various</x:v>
      </x:c>
      <x:c r="U85" s="15" t="str">
        <x:v>symbolic_or_numeric_stl</x:v>
      </x:c>
      <x:c r="V85" s="15" t="str"/>
      <x:c r="W85" s="15" t="str"/>
    </x:row>
    <x:row r="86">
      <x:c r="A86" s="15" t="str">
        <x:v>NLSTL150-085</x:v>
      </x:c>
      <x:c r="B86" s="15" t="str">
        <x:v>paper_challenge</x:v>
      </x:c>
      <x:c r="C86" s="15" t="str">
        <x:v>ChatSTL</x:v>
      </x:c>
      <x:c r="D86" s="15" t="str">
        <x:v>limitation_probe</x:v>
      </x:c>
      <x:c r="E86" s="15" t="str">
        <x:v>limitation_constructed</x:v>
      </x:c>
      <x:c r="F86" s="15" t="str">
        <x:v>Constructed from the AV-domain and restricted-template limitations reflected in the uploaded examples</x:v>
      </x:c>
      <x:c r="G86" s="15" t="str"/>
      <x:c r="H86" s="15" t="str">
        <x:v>autonomous driving</x:v>
      </x:c>
      <x:c r="I86" s="15" t="str">
        <x:v>abstain_or_request_context</x:v>
      </x:c>
      <x:c r="J86" s="15" t="str">
        <x:v>Keep the probability of collision below 0.001 throughout the manoeuvre.</x:v>
      </x:c>
      <x:c r="K86" s="15" t="str"/>
      <x:c r="L86" s="15" t="str"/>
      <x:c r="M86" s="15" t="str">
        <x:v>non_stl_probabilistic</x:v>
      </x:c>
      <x:c r="N86" s="15" t="str"/>
      <x:c r="O86" s="15" t="str"/>
      <x:c r="P86" s="15" t="str"/>
      <x:c r="Q86" s="15" t="str"/>
      <x:c r="R86" s="15" t="str">
        <x:v>Probabilistic safety outside deterministic STL</x:v>
      </x:c>
      <x:c r="S86" s="15" t="n">
        <x:v>5</x:v>
      </x:c>
      <x:c r="T86" s="15" t="str">
        <x:v>various</x:v>
      </x:c>
      <x:c r="U86" s="15" t="str">
        <x:v>symbolic_or_numeric_stl</x:v>
      </x:c>
      <x:c r="V86" s="15" t="str"/>
      <x:c r="W86" s="15" t="str"/>
    </x:row>
    <x:row r="87">
      <x:c r="A87" s="15" t="str">
        <x:v>NLSTL150-086</x:v>
      </x:c>
      <x:c r="B87" s="15" t="str">
        <x:v>paper_challenge</x:v>
      </x:c>
      <x:c r="C87" s="15" t="str">
        <x:v>ChatSTL</x:v>
      </x:c>
      <x:c r="D87" s="15" t="str">
        <x:v>limitation_probe</x:v>
      </x:c>
      <x:c r="E87" s="15" t="str">
        <x:v>limitation_constructed</x:v>
      </x:c>
      <x:c r="F87" s="15" t="str">
        <x:v>Constructed from the AV-domain and restricted-template limitations reflected in the uploaded examples</x:v>
      </x:c>
      <x:c r="G87" s="15" t="str"/>
      <x:c r="H87" s="15" t="str">
        <x:v>autonomous driving</x:v>
      </x:c>
      <x:c r="I87" s="15" t="str">
        <x:v>translate</x:v>
      </x:c>
      <x:c r="J87" s="15" t="str">
        <x:v>Enter the intersection only if the traffic light has been green continuously for the previous 2 seconds.</x:v>
      </x:c>
      <x:c r="K87" s="15" t="str">
        <x:v>G(enter_intersection -&gt; H[0,2](light_green = 1))</x:v>
      </x:c>
      <x:c r="L87" s="15" t="str"/>
      <x:c r="M87" s="15" t="str">
        <x:v>none</x:v>
      </x:c>
      <x:c r="N87" s="15" t="str"/>
      <x:c r="O87" s="15" t="str"/>
      <x:c r="P87" s="15" t="str"/>
      <x:c r="Q87" s="15" t="str"/>
      <x:c r="R87" s="15" t="str">
        <x:v>Past-time condition not covered by forward symbolic templates</x:v>
      </x:c>
      <x:c r="S87" s="15" t="n">
        <x:v>5</x:v>
      </x:c>
      <x:c r="T87" s="15" t="str">
        <x:v>G,H,-&gt;</x:v>
      </x:c>
      <x:c r="U87" s="15" t="str">
        <x:v>symbolic_or_numeric_stl</x:v>
      </x:c>
      <x:c r="V87" s="15" t="str"/>
      <x:c r="W87" s="15" t="str"/>
    </x:row>
    <x:row r="88">
      <x:c r="A88" s="15" t="str">
        <x:v>NLSTL150-087</x:v>
      </x:c>
      <x:c r="B88" s="15" t="str">
        <x:v>paper_challenge</x:v>
      </x:c>
      <x:c r="C88" s="15" t="str">
        <x:v>ChatSTL</x:v>
      </x:c>
      <x:c r="D88" s="15" t="str">
        <x:v>limitation_probe</x:v>
      </x:c>
      <x:c r="E88" s="15" t="str">
        <x:v>limitation_constructed</x:v>
      </x:c>
      <x:c r="F88" s="15" t="str">
        <x:v>Constructed from the AV-domain and restricted-template limitations reflected in the uploaded examples</x:v>
      </x:c>
      <x:c r="G88" s="15" t="str"/>
      <x:c r="H88" s="15" t="str">
        <x:v>autonomous driving</x:v>
      </x:c>
      <x:c r="I88" s="15" t="str">
        <x:v>translate</x:v>
      </x:c>
      <x:c r="J88" s="15" t="str">
        <x:v>Whenever a pedestrian enters the road, brake within 0.5 seconds and remain stopped until the pedestrian leaves.</x:v>
      </x:c>
      <x:c r="K88" s="15" t="str">
        <x:v>G(rise(pedestrian_in_road = 1) -&gt; F[0,0.5]((speed = 0) &amp; ((speed = 0) U (pedestrian_in_road = 0))))</x:v>
      </x:c>
      <x:c r="L88" s="15" t="str"/>
      <x:c r="M88" s="15" t="str">
        <x:v>none</x:v>
      </x:c>
      <x:c r="N88" s="15" t="str"/>
      <x:c r="O88" s="15" t="str"/>
      <x:c r="P88" s="15" t="str"/>
      <x:c r="Q88" s="15" t="str"/>
      <x:c r="R88" s="15" t="str">
        <x:v>Nested response and until in a safety-critical scenario</x:v>
      </x:c>
      <x:c r="S88" s="15" t="n">
        <x:v>5</x:v>
      </x:c>
      <x:c r="T88" s="15" t="str">
        <x:v>G,F,U,rise,&amp;,-&gt;</x:v>
      </x:c>
      <x:c r="U88" s="15" t="str">
        <x:v>symbolic_or_numeric_stl</x:v>
      </x:c>
      <x:c r="V88" s="15" t="str"/>
      <x:c r="W88" s="15" t="str"/>
    </x:row>
    <x:row r="89">
      <x:c r="A89" s="15" t="str">
        <x:v>NLSTL150-088</x:v>
      </x:c>
      <x:c r="B89" s="15" t="str">
        <x:v>paper_challenge</x:v>
      </x:c>
      <x:c r="C89" s="15" t="str">
        <x:v>ChatSTL</x:v>
      </x:c>
      <x:c r="D89" s="15" t="str">
        <x:v>limitation_probe</x:v>
      </x:c>
      <x:c r="E89" s="15" t="str">
        <x:v>limitation_constructed</x:v>
      </x:c>
      <x:c r="F89" s="15" t="str">
        <x:v>Constructed from the AV-domain and restricted-template limitations reflected in the uploaded examples</x:v>
      </x:c>
      <x:c r="G89" s="15" t="str"/>
      <x:c r="H89" s="15" t="str">
        <x:v>autonomous driving</x:v>
      </x:c>
      <x:c r="I89" s="15" t="str">
        <x:v>abstain_or_request_context</x:v>
      </x:c>
      <x:c r="J89" s="15" t="str">
        <x:v>At 30 m/s and 5 metres from a stationary obstacle, stop before reaching it without exceeding 3 m/s² deceleration.</x:v>
      </x:c>
      <x:c r="K89" s="15" t="str"/>
      <x:c r="L89" s="15" t="str"/>
      <x:c r="M89" s="15" t="str">
        <x:v>infeasible_requirement</x:v>
      </x:c>
      <x:c r="N89" s="15" t="str"/>
      <x:c r="O89" s="15" t="str"/>
      <x:c r="P89" s="15" t="str"/>
      <x:c r="Q89" s="15" t="str"/>
      <x:c r="R89" s="15" t="str">
        <x:v>Physically infeasible requirement requires model-aware detection</x:v>
      </x:c>
      <x:c r="S89" s="15" t="n">
        <x:v>5</x:v>
      </x:c>
      <x:c r="T89" s="15" t="str">
        <x:v>various</x:v>
      </x:c>
      <x:c r="U89" s="15" t="str">
        <x:v>symbolic_or_numeric_stl</x:v>
      </x:c>
      <x:c r="V89" s="15" t="str"/>
      <x:c r="W89" s="15" t="str"/>
    </x:row>
    <x:row r="90">
      <x:c r="A90" s="15" t="str">
        <x:v>NLSTL150-089</x:v>
      </x:c>
      <x:c r="B90" s="15" t="str">
        <x:v>paper_challenge</x:v>
      </x:c>
      <x:c r="C90" s="15" t="str">
        <x:v>ChatSTL</x:v>
      </x:c>
      <x:c r="D90" s="15" t="str">
        <x:v>limitation_probe</x:v>
      </x:c>
      <x:c r="E90" s="15" t="str">
        <x:v>limitation_constructed</x:v>
      </x:c>
      <x:c r="F90" s="15" t="str">
        <x:v>Constructed from the AV-domain and restricted-template limitations reflected in the uploaded examples</x:v>
      </x:c>
      <x:c r="G90" s="15" t="str"/>
      <x:c r="H90" s="15" t="str">
        <x:v>autonomous driving</x:v>
      </x:c>
      <x:c r="I90" s="15" t="str">
        <x:v>clarify_then_translate</x:v>
      </x:c>
      <x:c r="J90" s="15" t="str">
        <x:v>Keep speed below 30 while passing the work zone.</x:v>
      </x:c>
      <x:c r="K90" s="15" t="str"/>
      <x:c r="L90" s="15" t="str"/>
      <x:c r="M90" s="15" t="str">
        <x:v>unknown_units</x:v>
      </x:c>
      <x:c r="N90" s="15" t="str">
        <x:v>Is 30 expressed in km/h, mph, or m/s?</x:v>
      </x:c>
      <x:c r="O90" s="15" t="str">
        <x:v>30 km/h.</x:v>
      </x:c>
      <x:c r="P90" s="15" t="str">
        <x:v>While in the work zone, speed must remain below 30 km/h.</x:v>
      </x:c>
      <x:c r="Q90" s="15" t="str">
        <x:v>G((work_zone = 1) -&gt; (speed_kmh &lt; 30))</x:v>
      </x:c>
      <x:c r="R90" s="15" t="str">
        <x:v>Units omitted from a safety threshold</x:v>
      </x:c>
      <x:c r="S90" s="15" t="n">
        <x:v>3</x:v>
      </x:c>
      <x:c r="T90" s="15" t="str">
        <x:v>various</x:v>
      </x:c>
      <x:c r="U90" s="15" t="str">
        <x:v>symbolic_or_numeric_stl</x:v>
      </x:c>
      <x:c r="V90" s="15" t="str"/>
      <x:c r="W90" s="15" t="str"/>
    </x:row>
    <x:row r="91">
      <x:c r="A91" s="15" t="str">
        <x:v>NLSTL150-090</x:v>
      </x:c>
      <x:c r="B91" s="15" t="str">
        <x:v>paper_challenge</x:v>
      </x:c>
      <x:c r="C91" s="15" t="str">
        <x:v>ChatSTL</x:v>
      </x:c>
      <x:c r="D91" s="15" t="str">
        <x:v>limitation_probe</x:v>
      </x:c>
      <x:c r="E91" s="15" t="str">
        <x:v>limitation_constructed</x:v>
      </x:c>
      <x:c r="F91" s="15" t="str">
        <x:v>Constructed from the AV-domain and restricted-template limitations reflected in the uploaded examples</x:v>
      </x:c>
      <x:c r="G91" s="15" t="str"/>
      <x:c r="H91" s="15" t="str">
        <x:v>autonomous driving</x:v>
      </x:c>
      <x:c r="I91" s="15" t="str">
        <x:v>clarify_then_translate</x:v>
      </x:c>
      <x:c r="J91" s="15" t="str">
        <x:v>Let the other driver go first if they seem impatient.</x:v>
      </x:c>
      <x:c r="K91" s="15" t="str"/>
      <x:c r="L91" s="15" t="str"/>
      <x:c r="M91" s="15" t="str">
        <x:v>semantic_and_conditional_vagueness</x:v>
      </x:c>
      <x:c r="N91" s="15" t="str">
        <x:v>What observable behaviour defines impatience, and what action counts as letting the other driver go first?</x:v>
      </x:c>
      <x:c r="O91" s="15" t="str">
        <x:v>Impatience means repeated horn use; remain stopped until the other vehicle passes.</x:v>
      </x:c>
      <x:c r="P91" s="15" t="str">
        <x:v>If the other vehicle repeatedly honks, remain stopped until it passes.</x:v>
      </x:c>
      <x:c r="Q91" s="15" t="str">
        <x:v>G(repeated_horn -&gt; ((speed = 0) U (other_vehicle_passed = 1)))</x:v>
      </x:c>
      <x:c r="R91" s="15" t="str">
        <x:v>Human mental-state inference and subjective policy</x:v>
      </x:c>
      <x:c r="S91" s="15" t="n">
        <x:v>4</x:v>
      </x:c>
      <x:c r="T91" s="15" t="str">
        <x:v>various</x:v>
      </x:c>
      <x:c r="U91" s="15" t="str">
        <x:v>symbolic_or_numeric_stl</x:v>
      </x:c>
      <x:c r="V91" s="15" t="str"/>
      <x:c r="W91" s="15" t="str"/>
    </x:row>
    <x:row r="92">
      <x:c r="A92" s="15" t="str">
        <x:v>NLSTL150-091</x:v>
      </x:c>
      <x:c r="B92" s="15" t="str">
        <x:v>paper_supported</x:v>
      </x:c>
      <x:c r="C92" s="15" t="str">
        <x:v>ClarifySTL</x:v>
      </x:c>
      <x:c r="D92" s="15" t="str">
        <x:v>expected_strength</x:v>
      </x:c>
      <x:c r="E92" s="15" t="str">
        <x:v>paper_explicit_paraphrase</x:v>
      </x:c>
      <x:c r="F92" s="15" t="str">
        <x:v>Uploaded PDF: NL-STL Examples.pdf, p.1, numerical-vagueness running example</x:v>
      </x:c>
      <x:c r="G92" s="15" t="str">
        <x:v>https://arxiv.org/abs/2605.01209</x:v>
      </x:c>
      <x:c r="H92" s="15" t="str">
        <x:v>generic signal</x:v>
      </x:c>
      <x:c r="I92" s="15" t="str">
        <x:v>clarify_then_translate</x:v>
      </x:c>
      <x:c r="J92" s="15" t="str">
        <x:v>During 10 to 150 seconds, if signal x1 exceeds 0.2, signal x2 will decrease for the next 30 seconds.</x:v>
      </x:c>
      <x:c r="K92" s="15" t="str"/>
      <x:c r="L92" s="15" t="str"/>
      <x:c r="M92" s="15" t="str">
        <x:v>numerical_vagueness</x:v>
      </x:c>
      <x:c r="N92" s="15" t="str">
        <x:v>Below what numerical value must x2 decrease?</x:v>
      </x:c>
      <x:c r="O92" s="15" t="str">
        <x:v>Below 0.5.</x:v>
      </x:c>
      <x:c r="P92" s="15" t="str">
        <x:v>During 10 to 150 seconds, whenever x1 exceeds 0.2, x2 must become lower than 0.5 within the following 30 seconds.</x:v>
      </x:c>
      <x:c r="Q92" s="15" t="str">
        <x:v>G[10,150]((x1 &gt; 0.2) -&gt; F[0,30](x2 &lt; 0.5))</x:v>
      </x:c>
      <x:c r="R92" s="15" t="str">
        <x:v>Core numerical-vagueness detection and targeted questioning</x:v>
      </x:c>
      <x:c r="S92" s="15" t="n">
        <x:v>3</x:v>
      </x:c>
      <x:c r="T92" s="15" t="str">
        <x:v>G,F,-&gt;</x:v>
      </x:c>
      <x:c r="U92" s="15" t="str">
        <x:v>future_stl</x:v>
      </x:c>
      <x:c r="V92" s="15" t="str"/>
      <x:c r="W92" s="15" t="str"/>
    </x:row>
    <x:row r="93">
      <x:c r="A93" s="15" t="str">
        <x:v>NLSTL150-092</x:v>
      </x:c>
      <x:c r="B93" s="15" t="str">
        <x:v>paper_supported</x:v>
      </x:c>
      <x:c r="C93" s="15" t="str">
        <x:v>ClarifySTL</x:v>
      </x:c>
      <x:c r="D93" s="15" t="str">
        <x:v>expected_strength</x:v>
      </x:c>
      <x:c r="E93" s="15" t="str">
        <x:v>paper_explicit_paraphrase</x:v>
      </x:c>
      <x:c r="F93" s="15" t="str">
        <x:v>Uploaded PDF: NL-STL Examples.pdf, p.1, semantic-ambiguity example</x:v>
      </x:c>
      <x:c r="G93" s="15" t="str">
        <x:v>https://arxiv.org/abs/2605.01209</x:v>
      </x:c>
      <x:c r="H93" s="15" t="str">
        <x:v>generic signal</x:v>
      </x:c>
      <x:c r="I93" s="15" t="str">
        <x:v>clarify_then_translate</x:v>
      </x:c>
      <x:c r="J93" s="15" t="str">
        <x:v>During 10 to 150 seconds, if signal x1 exceeds 0.2, signal x2 remains below 0.3 for the next 30 seconds.</x:v>
      </x:c>
      <x:c r="K93" s="15" t="str"/>
      <x:c r="L93" s="15" t="str">
        <x:v>A: G[10,150]((x1 &gt; 0.2) -&gt; G[0,30](x2 &lt; 0.3)); B: G[10,150](x1 &gt; 0.2) -&gt; G[0,30](x2 &lt; 0.3)</x:v>
      </x:c>
      <x:c r="M93" s="15" t="str">
        <x:v>semantic_ambiguity</x:v>
      </x:c>
      <x:c r="N93" s="15" t="str">
        <x:v>Do the 30 seconds begin each time x1 exceeds 0.2, or after the entire 10–150-second interval?</x:v>
      </x:c>
      <x:c r="O93" s="15" t="str">
        <x:v>They begin each time x1 exceeds 0.2.</x:v>
      </x:c>
      <x:c r="P93" s="15" t="str">
        <x:v>During 10 to 150 seconds, whenever x1 exceeds 0.2, x2 must remain below 0.3 for the following 30 seconds.</x:v>
      </x:c>
      <x:c r="Q93" s="15" t="str">
        <x:v>G[10,150]((x1 &gt; 0.2) -&gt; G[0,30](x2 &lt; 0.3))</x:v>
      </x:c>
      <x:c r="R93" s="15" t="str">
        <x:v>Core semantic-ambiguity detection via alternative interpretations</x:v>
      </x:c>
      <x:c r="S93" s="15" t="n">
        <x:v>4</x:v>
      </x:c>
      <x:c r="T93" s="15" t="str">
        <x:v>G,-&gt;</x:v>
      </x:c>
      <x:c r="U93" s="15" t="str">
        <x:v>future_stl</x:v>
      </x:c>
      <x:c r="V93" s="15" t="str"/>
      <x:c r="W93" s="15" t="str"/>
    </x:row>
    <x:row r="94">
      <x:c r="A94" s="15" t="str">
        <x:v>NLSTL150-093</x:v>
      </x:c>
      <x:c r="B94" s="15" t="str">
        <x:v>paper_supported</x:v>
      </x:c>
      <x:c r="C94" s="15" t="str">
        <x:v>ClarifySTL</x:v>
      </x:c>
      <x:c r="D94" s="15" t="str">
        <x:v>expected_strength</x:v>
      </x:c>
      <x:c r="E94" s="15" t="str">
        <x:v>paper_aligned</x:v>
      </x:c>
      <x:c r="F94" s="15" t="str">
        <x:v>Aligned with AmbiEval temporal-vagueness category</x:v>
      </x:c>
      <x:c r="G94" s="15" t="str">
        <x:v>https://arxiv.org/abs/2605.01209</x:v>
      </x:c>
      <x:c r="H94" s="15" t="str">
        <x:v>robot control</x:v>
      </x:c>
      <x:c r="I94" s="15" t="str">
        <x:v>clarify_then_translate</x:v>
      </x:c>
      <x:c r="J94" s="15" t="str">
        <x:v>After a fault, recovery should begin soon.</x:v>
      </x:c>
      <x:c r="K94" s="15" t="str"/>
      <x:c r="L94" s="15" t="str"/>
      <x:c r="M94" s="15" t="str">
        <x:v>temporal_vagueness</x:v>
      </x:c>
      <x:c r="N94" s="15" t="str">
        <x:v>What is the maximum allowed delay before recovery begins?</x:v>
      </x:c>
      <x:c r="O94" s="15" t="str">
        <x:v>Within 5 seconds.</x:v>
      </x:c>
      <x:c r="P94" s="15" t="str">
        <x:v>Whenever a fault occurs, recovery must begin within 5 seconds.</x:v>
      </x:c>
      <x:c r="Q94" s="15" t="str">
        <x:v>G(rise(fault = 1) -&gt; F[0,5](recovery = 1))</x:v>
      </x:c>
      <x:c r="R94" s="15" t="str">
        <x:v>Core temporal-vagueness clarification</x:v>
      </x:c>
      <x:c r="S94" s="15" t="n">
        <x:v>2</x:v>
      </x:c>
      <x:c r="T94" s="15" t="str">
        <x:v>G,F,rise,-&gt;</x:v>
      </x:c>
      <x:c r="U94" s="15" t="str">
        <x:v>future_stl</x:v>
      </x:c>
      <x:c r="V94" s="15" t="str"/>
      <x:c r="W94" s="15" t="str"/>
    </x:row>
    <x:row r="95">
      <x:c r="A95" s="15" t="str">
        <x:v>NLSTL150-094</x:v>
      </x:c>
      <x:c r="B95" s="15" t="str">
        <x:v>paper_supported</x:v>
      </x:c>
      <x:c r="C95" s="15" t="str">
        <x:v>ClarifySTL</x:v>
      </x:c>
      <x:c r="D95" s="15" t="str">
        <x:v>expected_strength</x:v>
      </x:c>
      <x:c r="E95" s="15" t="str">
        <x:v>paper_aligned</x:v>
      </x:c>
      <x:c r="F95" s="15" t="str">
        <x:v>Aligned with AmbiEval conditional-vagueness category</x:v>
      </x:c>
      <x:c r="G95" s="15" t="str">
        <x:v>https://arxiv.org/abs/2605.01209</x:v>
      </x:c>
      <x:c r="H95" s="15" t="str">
        <x:v>industrial</x:v>
      </x:c>
      <x:c r="I95" s="15" t="str">
        <x:v>clarify_then_translate</x:v>
      </x:c>
      <x:c r="J95" s="15" t="str">
        <x:v>The backup pump must start when needed.</x:v>
      </x:c>
      <x:c r="K95" s="15" t="str"/>
      <x:c r="L95" s="15" t="str"/>
      <x:c r="M95" s="15" t="str">
        <x:v>conditional_vagueness</x:v>
      </x:c>
      <x:c r="N95" s="15" t="str">
        <x:v>Which observable condition defines when the backup pump is needed?</x:v>
      </x:c>
      <x:c r="O95" s="15" t="str">
        <x:v>When pressure is below 4 or the primary pump is off.</x:v>
      </x:c>
      <x:c r="P95" s="15" t="str">
        <x:v>Whenever pressure is below 4 or the primary pump is off, the backup pump must start.</x:v>
      </x:c>
      <x:c r="Q95" s="15" t="str">
        <x:v>G(((pressure &lt; 4) | (primary_pump = 0)) -&gt; (backup_pump = 1))</x:v>
      </x:c>
      <x:c r="R95" s="15" t="str">
        <x:v>Core conditional-vagueness clarification</x:v>
      </x:c>
      <x:c r="S95" s="15" t="n">
        <x:v>3</x:v>
      </x:c>
      <x:c r="T95" s="15" t="str">
        <x:v>G,|,-&gt;</x:v>
      </x:c>
      <x:c r="U95" s="15" t="str">
        <x:v>future_stl</x:v>
      </x:c>
      <x:c r="V95" s="15" t="str"/>
      <x:c r="W95" s="15" t="str"/>
    </x:row>
    <x:row r="96">
      <x:c r="A96" s="15" t="str">
        <x:v>NLSTL150-095</x:v>
      </x:c>
      <x:c r="B96" s="15" t="str">
        <x:v>paper_supported</x:v>
      </x:c>
      <x:c r="C96" s="15" t="str">
        <x:v>ClarifySTL</x:v>
      </x:c>
      <x:c r="D96" s="15" t="str">
        <x:v>expected_strength</x:v>
      </x:c>
      <x:c r="E96" s="15" t="str">
        <x:v>paper_aligned</x:v>
      </x:c>
      <x:c r="F96" s="15" t="str">
        <x:v>Aligned with AmbiEval referential-ambiguity category</x:v>
      </x:c>
      <x:c r="G96" s="15" t="str">
        <x:v>https://arxiv.org/abs/2605.01209</x:v>
      </x:c>
      <x:c r="H96" s="15" t="str">
        <x:v>multi-robot</x:v>
      </x:c>
      <x:c r="I96" s="15" t="str">
        <x:v>clarify_then_translate</x:v>
      </x:c>
      <x:c r="J96" s="15" t="str">
        <x:v>When robot 1 approaches robot 2, it must stop within 2 seconds.</x:v>
      </x:c>
      <x:c r="K96" s="15" t="str"/>
      <x:c r="L96" s="15" t="str">
        <x:v>A: robot 1 stops; B: robot 2 stops</x:v>
      </x:c>
      <x:c r="M96" s="15" t="str">
        <x:v>referential_ambiguity</x:v>
      </x:c>
      <x:c r="N96" s="15" t="str">
        <x:v>Which robot must stop within 2 seconds?</x:v>
      </x:c>
      <x:c r="O96" s="15" t="str">
        <x:v>Robot 1.</x:v>
      </x:c>
      <x:c r="P96" s="15" t="str">
        <x:v>When robot 1 approaches robot 2, robot 1 must stop within 2 seconds.</x:v>
      </x:c>
      <x:c r="Q96" s="15" t="str">
        <x:v>G((distance_r1_r2 &lt; approach_threshold) -&gt; F[0,2](speed_r1 = 0))</x:v>
      </x:c>
      <x:c r="R96" s="15" t="str">
        <x:v>Core referential-ambiguity clarification</x:v>
      </x:c>
      <x:c r="S96" s="15" t="n">
        <x:v>3</x:v>
      </x:c>
      <x:c r="T96" s="15" t="str">
        <x:v>G,F,-&gt;</x:v>
      </x:c>
      <x:c r="U96" s="15" t="str">
        <x:v>future_stl</x:v>
      </x:c>
      <x:c r="V96" s="15" t="str"/>
      <x:c r="W96" s="15" t="str"/>
    </x:row>
    <x:row r="97">
      <x:c r="A97" s="15" t="str">
        <x:v>NLSTL150-096</x:v>
      </x:c>
      <x:c r="B97" s="15" t="str">
        <x:v>paper_challenge</x:v>
      </x:c>
      <x:c r="C97" s="15" t="str">
        <x:v>ClarifySTL</x:v>
      </x:c>
      <x:c r="D97" s="15" t="str">
        <x:v>limitation_probe</x:v>
      </x:c>
      <x:c r="E97" s="15" t="str">
        <x:v>limitation_constructed</x:v>
      </x:c>
      <x:c r="F97" s="15" t="str">
        <x:v>Constructed from multi-defect, interaction-dependence, and out-of-scope failure modes</x:v>
      </x:c>
      <x:c r="G97" s="15" t="str">
        <x:v>https://arxiv.org/abs/2605.01209</x:v>
      </x:c>
      <x:c r="H97" s="15" t="str">
        <x:v>process control</x:v>
      </x:c>
      <x:c r="I97" s="15" t="str">
        <x:v>clarify_then_translate</x:v>
      </x:c>
      <x:c r="J97" s="15" t="str">
        <x:v>When the tank is nearly full, close the inlet shortly afterward.</x:v>
      </x:c>
      <x:c r="K97" s="15" t="str"/>
      <x:c r="L97" s="15" t="str"/>
      <x:c r="M97" s="15" t="str">
        <x:v>numerical_and_temporal_vagueness</x:v>
      </x:c>
      <x:c r="N97" s="15" t="str">
        <x:v>What fill level defines nearly full, and what maximum closing delay is allowed?</x:v>
      </x:c>
      <x:c r="O97" s="15" t="str">
        <x:v>Nearly full means above 90%; close within 2 seconds.</x:v>
      </x:c>
      <x:c r="P97" s="15" t="str">
        <x:v>Whenever tank level exceeds 90%, close the inlet within 2 seconds.</x:v>
      </x:c>
      <x:c r="Q97" s="15" t="str">
        <x:v>G((tank_level &gt; 90) -&gt; F[0,2](inlet_closed = 1))</x:v>
      </x:c>
      <x:c r="R97" s="15" t="str">
        <x:v>Multiple missing slots in one clause</x:v>
      </x:c>
      <x:c r="S97" s="15" t="n">
        <x:v>4</x:v>
      </x:c>
      <x:c r="T97" s="15" t="str">
        <x:v>various</x:v>
      </x:c>
      <x:c r="U97" s="15" t="str">
        <x:v>future_stl</x:v>
      </x:c>
      <x:c r="V97" s="15" t="str"/>
      <x:c r="W97" s="15" t="str"/>
    </x:row>
    <x:row r="98">
      <x:c r="A98" s="15" t="str">
        <x:v>NLSTL150-097</x:v>
      </x:c>
      <x:c r="B98" s="15" t="str">
        <x:v>paper_challenge</x:v>
      </x:c>
      <x:c r="C98" s="15" t="str">
        <x:v>ClarifySTL</x:v>
      </x:c>
      <x:c r="D98" s="15" t="str">
        <x:v>limitation_probe</x:v>
      </x:c>
      <x:c r="E98" s="15" t="str">
        <x:v>limitation_constructed</x:v>
      </x:c>
      <x:c r="F98" s="15" t="str">
        <x:v>Constructed from multi-defect, interaction-dependence, and out-of-scope failure modes</x:v>
      </x:c>
      <x:c r="G98" s="15" t="str">
        <x:v>https://arxiv.org/abs/2605.01209</x:v>
      </x:c>
      <x:c r="H98" s="15" t="str">
        <x:v>autonomous driving</x:v>
      </x:c>
      <x:c r="I98" s="15" t="str">
        <x:v>clarify_then_translate</x:v>
      </x:c>
      <x:c r="J98" s="15" t="str">
        <x:v>If conditions become unsafe, reduce speed enough, quickly.</x:v>
      </x:c>
      <x:c r="K98" s="15" t="str"/>
      <x:c r="L98" s="15" t="str"/>
      <x:c r="M98" s="15" t="str">
        <x:v>temporal_numerical_conditional_vagueness</x:v>
      </x:c>
      <x:c r="N98" s="15" t="str">
        <x:v>Which condition defines unsafe, what target speed is required, and within what time?</x:v>
      </x:c>
      <x:c r="O98" s="15" t="str">
        <x:v>Unsafe means visibility below 40 m; reduce speed below 8 m/s within 1 second.</x:v>
      </x:c>
      <x:c r="P98" s="15" t="str">
        <x:v>Whenever visibility is below 40 m, speed must become lower than 8 m/s within 1 second.</x:v>
      </x:c>
      <x:c r="Q98" s="15" t="str">
        <x:v>G((visibility &lt; 40) -&gt; F[0,1](speed &lt; 8))</x:v>
      </x:c>
      <x:c r="R98" s="15" t="str">
        <x:v>All three vagueness categories simultaneously</x:v>
      </x:c>
      <x:c r="S98" s="15" t="n">
        <x:v>5</x:v>
      </x:c>
      <x:c r="T98" s="15" t="str">
        <x:v>various</x:v>
      </x:c>
      <x:c r="U98" s="15" t="str">
        <x:v>future_stl</x:v>
      </x:c>
      <x:c r="V98" s="15" t="str"/>
      <x:c r="W98" s="15" t="str"/>
    </x:row>
    <x:row r="99">
      <x:c r="A99" s="15" t="str">
        <x:v>NLSTL150-098</x:v>
      </x:c>
      <x:c r="B99" s="15" t="str">
        <x:v>paper_challenge</x:v>
      </x:c>
      <x:c r="C99" s="15" t="str">
        <x:v>ClarifySTL</x:v>
      </x:c>
      <x:c r="D99" s="15" t="str">
        <x:v>limitation_probe</x:v>
      </x:c>
      <x:c r="E99" s="15" t="str">
        <x:v>limitation_constructed</x:v>
      </x:c>
      <x:c r="F99" s="15" t="str">
        <x:v>Constructed from multi-defect, interaction-dependence, and out-of-scope failure modes</x:v>
      </x:c>
      <x:c r="G99" s="15" t="str">
        <x:v>https://arxiv.org/abs/2605.01209</x:v>
      </x:c>
      <x:c r="H99" s="15" t="str">
        <x:v>generic signal</x:v>
      </x:c>
      <x:c r="I99" s="15" t="str">
        <x:v>clarify_then_translate</x:v>
      </x:c>
      <x:c r="J99" s="15" t="str">
        <x:v>When sensor A is high, sensor B should soon become low and stay there for a while.</x:v>
      </x:c>
      <x:c r="K99" s="15" t="str"/>
      <x:c r="L99" s="15" t="str"/>
      <x:c r="M99" s="15" t="str">
        <x:v>multiple_stage_defect</x:v>
      </x:c>
      <x:c r="N99" s="15" t="str">
        <x:v>What thresholds define high and low, what is the response deadline, and how long must B stay low?</x:v>
      </x:c>
      <x:c r="O99" s="15" t="str">
        <x:v>A high means above 10; B low means below 2; respond within 3 seconds and stay low for 5 seconds.</x:v>
      </x:c>
      <x:c r="P99" s="15" t="str">
        <x:v>Whenever A exceeds 10, B must become lower than 2 within 3 seconds and remain below 2 for 5 seconds.</x:v>
      </x:c>
      <x:c r="Q99" s="15" t="str">
        <x:v>G((A &gt; 10) -&gt; F[0,3](G[0,5](B &lt; 2)))</x:v>
      </x:c>
      <x:c r="R99" s="15" t="str">
        <x:v>Vagueness must be resolved before remaining scope ambiguity is exposed</x:v>
      </x:c>
      <x:c r="S99" s="15" t="n">
        <x:v>5</x:v>
      </x:c>
      <x:c r="T99" s="15" t="str">
        <x:v>various</x:v>
      </x:c>
      <x:c r="U99" s="15" t="str">
        <x:v>future_stl</x:v>
      </x:c>
      <x:c r="V99" s="15" t="str"/>
      <x:c r="W99" s="15" t="str"/>
    </x:row>
    <x:row r="100">
      <x:c r="A100" s="15" t="str">
        <x:v>NLSTL150-099</x:v>
      </x:c>
      <x:c r="B100" s="15" t="str">
        <x:v>paper_challenge</x:v>
      </x:c>
      <x:c r="C100" s="15" t="str">
        <x:v>ClarifySTL</x:v>
      </x:c>
      <x:c r="D100" s="15" t="str">
        <x:v>limitation_probe</x:v>
      </x:c>
      <x:c r="E100" s="15" t="str">
        <x:v>limitation_constructed</x:v>
      </x:c>
      <x:c r="F100" s="15" t="str">
        <x:v>Constructed from multi-defect, interaction-dependence, and out-of-scope failure modes</x:v>
      </x:c>
      <x:c r="G100" s="15" t="str">
        <x:v>https://arxiv.org/abs/2605.01209</x:v>
      </x:c>
      <x:c r="H100" s="15" t="str">
        <x:v>industrial</x:v>
      </x:c>
      <x:c r="I100" s="15" t="str">
        <x:v>clarify_then_translate</x:v>
      </x:c>
      <x:c r="J100" s="15" t="str">
        <x:v>If valve A opens near valve B while pump C is active, it must stop it within 2 seconds.</x:v>
      </x:c>
      <x:c r="K100" s="15" t="str"/>
      <x:c r="L100" s="15" t="str"/>
      <x:c r="M100" s="15" t="str">
        <x:v>referential_ambiguity</x:v>
      </x:c>
      <x:c r="N100" s="15" t="str">
        <x:v>What does the first “it” refer to, and what must be stopped?</x:v>
      </x:c>
      <x:c r="O100" s="15" t="str">
        <x:v>The controller must stop pump C.</x:v>
      </x:c>
      <x:c r="P100" s="15" t="str">
        <x:v>If valve A opens near valve B while pump C is active, the controller must stop pump C within 2 seconds.</x:v>
      </x:c>
      <x:c r="Q100" s="15" t="str">
        <x:v>G(((valve_A_open = 1) &amp; (near_A_B = 1) &amp; (pump_C = 1)) -&gt; F[0,2](pump_C = 0))</x:v>
      </x:c>
      <x:c r="R100" s="15" t="str">
        <x:v>Two pronouns with several possible antecedents</x:v>
      </x:c>
      <x:c r="S100" s="15" t="n">
        <x:v>5</x:v>
      </x:c>
      <x:c r="T100" s="15" t="str">
        <x:v>various</x:v>
      </x:c>
      <x:c r="U100" s="15" t="str">
        <x:v>future_stl</x:v>
      </x:c>
      <x:c r="V100" s="15" t="str"/>
      <x:c r="W100" s="15" t="str"/>
    </x:row>
    <x:row r="101">
      <x:c r="A101" s="15" t="str">
        <x:v>NLSTL150-100</x:v>
      </x:c>
      <x:c r="B101" s="15" t="str">
        <x:v>paper_challenge</x:v>
      </x:c>
      <x:c r="C101" s="15" t="str">
        <x:v>ClarifySTL</x:v>
      </x:c>
      <x:c r="D101" s="15" t="str">
        <x:v>limitation_probe</x:v>
      </x:c>
      <x:c r="E101" s="15" t="str">
        <x:v>limitation_constructed</x:v>
      </x:c>
      <x:c r="F101" s="15" t="str">
        <x:v>Constructed from multi-defect, interaction-dependence, and out-of-scope failure modes</x:v>
      </x:c>
      <x:c r="G101" s="15" t="str">
        <x:v>https://arxiv.org/abs/2605.01209</x:v>
      </x:c>
      <x:c r="H101" s="15" t="str">
        <x:v>multi-robot</x:v>
      </x:c>
      <x:c r="I101" s="15" t="str">
        <x:v>clarify_then_translate</x:v>
      </x:c>
      <x:c r="J101" s="15" t="str">
        <x:v>Every robot must visit a charging station within 60 seconds.</x:v>
      </x:c>
      <x:c r="K101" s="15" t="str"/>
      <x:c r="L101" s="15" t="str"/>
      <x:c r="M101" s="15" t="str">
        <x:v>semantic_ambiguity</x:v>
      </x:c>
      <x:c r="N101" s="15" t="str">
        <x:v>May each robot visit any charging station, or must each visit its assigned station?</x:v>
      </x:c>
      <x:c r="O101" s="15" t="str">
        <x:v>Each robot may visit any charging station.</x:v>
      </x:c>
      <x:c r="P101" s="15" t="str">
        <x:v>Within 60 seconds, every robot must visit at least one charging station.</x:v>
      </x:c>
      <x:c r="Q101" s="15" t="str">
        <x:v>F[0,60](station_any_r1) &amp; F[0,60](station_any_r2) &amp; F[0,60](station_any_r3)</x:v>
      </x:c>
      <x:c r="R101" s="15" t="str">
        <x:v>Whether all robots may share any station or each has a designated station</x:v>
      </x:c>
      <x:c r="S101" s="15" t="n">
        <x:v>4</x:v>
      </x:c>
      <x:c r="T101" s="15" t="str">
        <x:v>various</x:v>
      </x:c>
      <x:c r="U101" s="15" t="str">
        <x:v>future_stl</x:v>
      </x:c>
      <x:c r="V101" s="15" t="str"/>
      <x:c r="W101" s="15" t="str"/>
    </x:row>
    <x:row r="102">
      <x:c r="A102" s="15" t="str">
        <x:v>NLSTL150-101</x:v>
      </x:c>
      <x:c r="B102" s="15" t="str">
        <x:v>paper_challenge</x:v>
      </x:c>
      <x:c r="C102" s="15" t="str">
        <x:v>ClarifySTL</x:v>
      </x:c>
      <x:c r="D102" s="15" t="str">
        <x:v>limitation_probe</x:v>
      </x:c>
      <x:c r="E102" s="15" t="str">
        <x:v>limitation_constructed</x:v>
      </x:c>
      <x:c r="F102" s="15" t="str">
        <x:v>Constructed from multi-defect, interaction-dependence, and out-of-scope failure modes</x:v>
      </x:c>
      <x:c r="G102" s="15" t="str">
        <x:v>https://arxiv.org/abs/2605.01209</x:v>
      </x:c>
      <x:c r="H102" s="15" t="str">
        <x:v>generic</x:v>
      </x:c>
      <x:c r="I102" s="15" t="str">
        <x:v>clarify_then_translate</x:v>
      </x:c>
      <x:c r="J102" s="15" t="str">
        <x:v>If A or B and C, then D.</x:v>
      </x:c>
      <x:c r="K102" s="15" t="str"/>
      <x:c r="L102" s="15" t="str"/>
      <x:c r="M102" s="15" t="str">
        <x:v>semantic_ambiguity</x:v>
      </x:c>
      <x:c r="N102" s="15" t="str">
        <x:v>Should the trigger be A OR (B AND C), or (A OR B) AND C?</x:v>
      </x:c>
      <x:c r="O102" s="15" t="str">
        <x:v>A OR (B AND C).</x:v>
      </x:c>
      <x:c r="P102" s="15" t="str">
        <x:v>If A holds, or both B and C hold, then D must hold.</x:v>
      </x:c>
      <x:c r="Q102" s="15" t="str">
        <x:v>G(((A = 1) | ((B = 1) &amp; (C = 1))) -&gt; (D = 1))</x:v>
      </x:c>
      <x:c r="R102" s="15" t="str">
        <x:v>Boolean precedence is not recoverable from wording alone</x:v>
      </x:c>
      <x:c r="S102" s="15" t="n">
        <x:v>4</x:v>
      </x:c>
      <x:c r="T102" s="15" t="str">
        <x:v>various</x:v>
      </x:c>
      <x:c r="U102" s="15" t="str">
        <x:v>future_stl</x:v>
      </x:c>
      <x:c r="V102" s="15" t="str"/>
      <x:c r="W102" s="15" t="str"/>
    </x:row>
    <x:row r="103">
      <x:c r="A103" s="15" t="str">
        <x:v>NLSTL150-102</x:v>
      </x:c>
      <x:c r="B103" s="15" t="str">
        <x:v>paper_challenge</x:v>
      </x:c>
      <x:c r="C103" s="15" t="str">
        <x:v>ClarifySTL</x:v>
      </x:c>
      <x:c r="D103" s="15" t="str">
        <x:v>limitation_probe</x:v>
      </x:c>
      <x:c r="E103" s="15" t="str">
        <x:v>limitation_constructed</x:v>
      </x:c>
      <x:c r="F103" s="15" t="str">
        <x:v>Constructed from multi-defect, interaction-dependence, and out-of-scope failure modes</x:v>
      </x:c>
      <x:c r="G103" s="15" t="str">
        <x:v>https://arxiv.org/abs/2605.01209</x:v>
      </x:c>
      <x:c r="H103" s="15" t="str">
        <x:v>control</x:v>
      </x:c>
      <x:c r="I103" s="15" t="str">
        <x:v>clarify_then_translate</x:v>
      </x:c>
      <x:c r="J103" s="15" t="str">
        <x:v>The second motor must run faster.</x:v>
      </x:c>
      <x:c r="K103" s="15" t="str"/>
      <x:c r="L103" s="15" t="str"/>
      <x:c r="M103" s="15" t="str">
        <x:v>referential_and_numerical_vagueness</x:v>
      </x:c>
      <x:c r="N103" s="15" t="str">
        <x:v>Faster than which signal, and by what minimum amount?</x:v>
      </x:c>
      <x:c r="O103" s="15" t="str">
        <x:v>At least 100 rpm faster than motor 1.</x:v>
      </x:c>
      <x:c r="P103" s="15" t="str">
        <x:v>Motor 2 must always run at least 100 rpm faster than motor 1.</x:v>
      </x:c>
      <x:c r="Q103" s="15" t="str">
        <x:v>G(motor2_rpm &gt;= motor1_rpm + 100)</x:v>
      </x:c>
      <x:c r="R103" s="15" t="str">
        <x:v>Comparative adjective lacks reference and amount</x:v>
      </x:c>
      <x:c r="S103" s="15" t="n">
        <x:v>4</x:v>
      </x:c>
      <x:c r="T103" s="15" t="str">
        <x:v>various</x:v>
      </x:c>
      <x:c r="U103" s="15" t="str">
        <x:v>future_stl</x:v>
      </x:c>
      <x:c r="V103" s="15" t="str"/>
      <x:c r="W103" s="15" t="str"/>
    </x:row>
    <x:row r="104">
      <x:c r="A104" s="15" t="str">
        <x:v>NLSTL150-103</x:v>
      </x:c>
      <x:c r="B104" s="15" t="str">
        <x:v>paper_challenge</x:v>
      </x:c>
      <x:c r="C104" s="15" t="str">
        <x:v>ClarifySTL</x:v>
      </x:c>
      <x:c r="D104" s="15" t="str">
        <x:v>limitation_probe</x:v>
      </x:c>
      <x:c r="E104" s="15" t="str">
        <x:v>limitation_constructed</x:v>
      </x:c>
      <x:c r="F104" s="15" t="str">
        <x:v>Constructed from multi-defect, interaction-dependence, and out-of-scope failure modes</x:v>
      </x:c>
      <x:c r="G104" s="15" t="str">
        <x:v>https://arxiv.org/abs/2605.01209</x:v>
      </x:c>
      <x:c r="H104" s="15" t="str">
        <x:v>drone</x:v>
      </x:c>
      <x:c r="I104" s="15" t="str">
        <x:v>clarify_then_translate</x:v>
      </x:c>
      <x:c r="J104" s="15" t="str">
        <x:v>The drone should approach smoothly and remain reasonably close.</x:v>
      </x:c>
      <x:c r="K104" s="15" t="str"/>
      <x:c r="L104" s="15" t="str"/>
      <x:c r="M104" s="15" t="str">
        <x:v>numerical_vagueness</x:v>
      </x:c>
      <x:c r="N104" s="15" t="str">
        <x:v>What limits define smooth approach and reasonable closeness?</x:v>
      </x:c>
      <x:c r="O104" s="15" t="str">
        <x:v>Jerk below 1 m/s³ and distance below 2 m.</x:v>
      </x:c>
      <x:c r="P104" s="15" t="str">
        <x:v>During approach, jerk must remain below 1 m/s³ and distance must remain below 2 m.</x:v>
      </x:c>
      <x:c r="Q104" s="15" t="str">
        <x:v>G(approach -&gt; ((abs(jerk) &lt; 1) &amp; (distance &lt; 2)))</x:v>
      </x:c>
      <x:c r="R104" s="15" t="str">
        <x:v>Several qualitative objectives require different quantitative predicates</x:v>
      </x:c>
      <x:c r="S104" s="15" t="n">
        <x:v>4</x:v>
      </x:c>
      <x:c r="T104" s="15" t="str">
        <x:v>various</x:v>
      </x:c>
      <x:c r="U104" s="15" t="str">
        <x:v>future_stl</x:v>
      </x:c>
      <x:c r="V104" s="15" t="str"/>
      <x:c r="W104" s="15" t="str"/>
    </x:row>
    <x:row r="105">
      <x:c r="A105" s="15" t="str">
        <x:v>NLSTL150-104</x:v>
      </x:c>
      <x:c r="B105" s="15" t="str">
        <x:v>paper_challenge</x:v>
      </x:c>
      <x:c r="C105" s="15" t="str">
        <x:v>ClarifySTL</x:v>
      </x:c>
      <x:c r="D105" s="15" t="str">
        <x:v>limitation_probe</x:v>
      </x:c>
      <x:c r="E105" s="15" t="str">
        <x:v>limitation_constructed</x:v>
      </x:c>
      <x:c r="F105" s="15" t="str">
        <x:v>Constructed from multi-defect, interaction-dependence, and out-of-scope failure modes</x:v>
      </x:c>
      <x:c r="G105" s="15" t="str">
        <x:v>https://arxiv.org/abs/2605.01209</x:v>
      </x:c>
      <x:c r="H105" s="15" t="str">
        <x:v>thermal</x:v>
      </x:c>
      <x:c r="I105" s="15" t="str">
        <x:v>abstain_or_request_context</x:v>
      </x:c>
      <x:c r="J105" s="15" t="str">
        <x:v>Keep temperature low.</x:v>
      </x:c>
      <x:c r="K105" s="15" t="str"/>
      <x:c r="L105" s="15" t="str"/>
      <x:c r="M105" s="15" t="str">
        <x:v>numerical_vagueness</x:v>
      </x:c>
      <x:c r="N105" s="15" t="str">
        <x:v>What maximum temperature is allowed?</x:v>
      </x:c>
      <x:c r="O105" s="15" t="str">
        <x:v>First answer: below 60. Later answer: never below 70.</x:v>
      </x:c>
      <x:c r="P105" s="15" t="str">
        <x:v>The answers conflict; no final requirement can be produced.</x:v>
      </x:c>
      <x:c r="Q105" s="15" t="str"/>
      <x:c r="R105" s="15" t="str">
        <x:v>User supplies mutually inconsistent clarification answers</x:v>
      </x:c>
      <x:c r="S105" s="15" t="n">
        <x:v>5</x:v>
      </x:c>
      <x:c r="T105" s="15" t="str">
        <x:v>various</x:v>
      </x:c>
      <x:c r="U105" s="15" t="str">
        <x:v>future_stl</x:v>
      </x:c>
      <x:c r="V105" s="15" t="str"/>
      <x:c r="W105" s="15" t="str">
        <x:v>The system should explain that the clarification loop cannot complete without a consistent/cooperative answer, rather than inventing a formula.</x:v>
      </x:c>
    </x:row>
    <x:row r="106">
      <x:c r="A106" s="15" t="str">
        <x:v>NLSTL150-105</x:v>
      </x:c>
      <x:c r="B106" s="15" t="str">
        <x:v>paper_challenge</x:v>
      </x:c>
      <x:c r="C106" s="15" t="str">
        <x:v>ClarifySTL</x:v>
      </x:c>
      <x:c r="D106" s="15" t="str">
        <x:v>limitation_probe</x:v>
      </x:c>
      <x:c r="E106" s="15" t="str">
        <x:v>limitation_constructed</x:v>
      </x:c>
      <x:c r="F106" s="15" t="str">
        <x:v>Constructed from multi-defect, interaction-dependence, and out-of-scope failure modes</x:v>
      </x:c>
      <x:c r="G106" s="15" t="str">
        <x:v>https://arxiv.org/abs/2605.01209</x:v>
      </x:c>
      <x:c r="H106" s="15" t="str">
        <x:v>human-robot interaction</x:v>
      </x:c>
      <x:c r="I106" s="15" t="str">
        <x:v>abstain_or_request_context</x:v>
      </x:c>
      <x:c r="J106" s="15" t="str">
        <x:v>The robot must stop when close to a person.</x:v>
      </x:c>
      <x:c r="K106" s="15" t="str"/>
      <x:c r="L106" s="15" t="str"/>
      <x:c r="M106" s="15" t="str">
        <x:v>numerical_vagueness</x:v>
      </x:c>
      <x:c r="N106" s="15" t="str">
        <x:v>What distance defines close?</x:v>
      </x:c>
      <x:c r="O106" s="15" t="str">
        <x:v>The user refuses to specify a distance.</x:v>
      </x:c>
      <x:c r="P106" s="15" t="str">
        <x:v>No faithful final STL formula is determined.</x:v>
      </x:c>
      <x:c r="Q106" s="15" t="str"/>
      <x:c r="R106" s="15" t="str">
        <x:v>Interactive method depends on a cooperative user</x:v>
      </x:c>
      <x:c r="S106" s="15" t="n">
        <x:v>4</x:v>
      </x:c>
      <x:c r="T106" s="15" t="str">
        <x:v>various</x:v>
      </x:c>
      <x:c r="U106" s="15" t="str">
        <x:v>future_stl</x:v>
      </x:c>
      <x:c r="V106" s="15" t="str"/>
      <x:c r="W106" s="15" t="str">
        <x:v>The system should explain that the clarification loop cannot complete without a consistent/cooperative answer, rather than inventing a formula.</x:v>
      </x:c>
    </x:row>
    <x:row r="107">
      <x:c r="A107" s="15" t="str">
        <x:v>NLSTL150-106</x:v>
      </x:c>
      <x:c r="B107" s="15" t="str">
        <x:v>paper_challenge</x:v>
      </x:c>
      <x:c r="C107" s="15" t="str">
        <x:v>ClarifySTL</x:v>
      </x:c>
      <x:c r="D107" s="15" t="str">
        <x:v>limitation_probe</x:v>
      </x:c>
      <x:c r="E107" s="15" t="str">
        <x:v>limitation_constructed</x:v>
      </x:c>
      <x:c r="F107" s="15" t="str">
        <x:v>Constructed from multi-defect, interaction-dependence, and out-of-scope failure modes</x:v>
      </x:c>
      <x:c r="G107" s="15" t="str">
        <x:v>https://arxiv.org/abs/2605.01209</x:v>
      </x:c>
      <x:c r="H107" s="15" t="str">
        <x:v>robotics</x:v>
      </x:c>
      <x:c r="I107" s="15" t="str">
        <x:v>abstain_or_request_context</x:v>
      </x:c>
      <x:c r="J107" s="15" t="str">
        <x:v>Reach the goal as quickly as possible while using minimal energy.</x:v>
      </x:c>
      <x:c r="K107" s="15" t="str"/>
      <x:c r="L107" s="15" t="str"/>
      <x:c r="M107" s="15" t="str">
        <x:v>non_stl_objective</x:v>
      </x:c>
      <x:c r="N107" s="15" t="str">
        <x:v>What hard deadlines and energy bounds should replace the optimization objectives?</x:v>
      </x:c>
      <x:c r="O107" s="15" t="str">
        <x:v>No hard bounds are provided.</x:v>
      </x:c>
      <x:c r="P107" s="15" t="str">
        <x:v>No faithful deterministic STL constraint is available.</x:v>
      </x:c>
      <x:c r="Q107" s="15" t="str"/>
      <x:c r="R107" s="15" t="str">
        <x:v>Clarification cannot turn a pure multi-objective optimization request into one STL formula without preferences</x:v>
      </x:c>
      <x:c r="S107" s="15" t="n">
        <x:v>5</x:v>
      </x:c>
      <x:c r="T107" s="15" t="str">
        <x:v>various</x:v>
      </x:c>
      <x:c r="U107" s="15" t="str">
        <x:v>future_stl</x:v>
      </x:c>
      <x:c r="V107" s="15" t="str"/>
      <x:c r="W107" s="15" t="str"/>
    </x:row>
    <x:row r="108">
      <x:c r="A108" s="15" t="str">
        <x:v>NLSTL150-107</x:v>
      </x:c>
      <x:c r="B108" s="15" t="str">
        <x:v>paper_challenge</x:v>
      </x:c>
      <x:c r="C108" s="15" t="str">
        <x:v>ClarifySTL</x:v>
      </x:c>
      <x:c r="D108" s="15" t="str">
        <x:v>limitation_probe</x:v>
      </x:c>
      <x:c r="E108" s="15" t="str">
        <x:v>limitation_constructed</x:v>
      </x:c>
      <x:c r="F108" s="15" t="str">
        <x:v>Constructed from multi-defect, interaction-dependence, and out-of-scope failure modes</x:v>
      </x:c>
      <x:c r="G108" s="15" t="str">
        <x:v>https://arxiv.org/abs/2605.01209</x:v>
      </x:c>
      <x:c r="H108" s="15" t="str">
        <x:v>autonomous driving</x:v>
      </x:c>
      <x:c r="I108" s="15" t="str">
        <x:v>abstain_or_request_context</x:v>
      </x:c>
      <x:c r="J108" s="15" t="str">
        <x:v>With very high probability, avoid collision.</x:v>
      </x:c>
      <x:c r="K108" s="15" t="str"/>
      <x:c r="L108" s="15" t="str"/>
      <x:c r="M108" s="15" t="str">
        <x:v>probabilistic_and_numerical_vagueness</x:v>
      </x:c>
      <x:c r="N108" s="15" t="str">
        <x:v>What probability threshold is required, and may a probabilistic STL extension be used?</x:v>
      </x:c>
      <x:c r="O108" s="15" t="str">
        <x:v>At least 0.999; probabilistic STL is allowed.</x:v>
      </x:c>
      <x:c r="P108" s="15" t="str">
        <x:v>With probability at least 0.999, collision must always be avoided.</x:v>
      </x:c>
      <x:c r="Q108" s="15" t="str"/>
      <x:c r="R108" s="15" t="str">
        <x:v>Requires both probability threshold and probabilistic STL extension</x:v>
      </x:c>
      <x:c r="S108" s="15" t="n">
        <x:v>5</x:v>
      </x:c>
      <x:c r="T108" s="15" t="str">
        <x:v>various</x:v>
      </x:c>
      <x:c r="U108" s="15" t="str">
        <x:v>future_stl</x:v>
      </x:c>
      <x:c r="V108" s="15" t="str"/>
      <x:c r="W108" s="15" t="str"/>
    </x:row>
    <x:row r="109">
      <x:c r="A109" s="15" t="str">
        <x:v>NLSTL150-108</x:v>
      </x:c>
      <x:c r="B109" s="15" t="str">
        <x:v>paper_challenge</x:v>
      </x:c>
      <x:c r="C109" s="15" t="str">
        <x:v>ClarifySTL</x:v>
      </x:c>
      <x:c r="D109" s="15" t="str">
        <x:v>limitation_probe</x:v>
      </x:c>
      <x:c r="E109" s="15" t="str">
        <x:v>limitation_constructed</x:v>
      </x:c>
      <x:c r="F109" s="15" t="str">
        <x:v>Constructed from multi-defect, interaction-dependence, and out-of-scope failure modes</x:v>
      </x:c>
      <x:c r="G109" s="15" t="str">
        <x:v>https://arxiv.org/abs/2605.01209</x:v>
      </x:c>
      <x:c r="H109" s="15" t="str">
        <x:v>control</x:v>
      </x:c>
      <x:c r="I109" s="15" t="str">
        <x:v>abstain_or_request_context</x:v>
      </x:c>
      <x:c r="J109" s="15" t="str">
        <x:v>Follow the timing profile shown in Figure 4.</x:v>
      </x:c>
      <x:c r="K109" s="15" t="str"/>
      <x:c r="L109" s="15" t="str"/>
      <x:c r="M109" s="15" t="str">
        <x:v>external_context</x:v>
      </x:c>
      <x:c r="N109" s="15" t="str">
        <x:v>Please provide the timing profile, signals, thresholds, and intervals from Figure 4.</x:v>
      </x:c>
      <x:c r="O109" s="15" t="str">
        <x:v>The figure is not available.</x:v>
      </x:c>
      <x:c r="P109" s="15" t="str">
        <x:v>No faithful STL formula can be generated.</x:v>
      </x:c>
      <x:c r="Q109" s="15" t="str"/>
      <x:c r="R109" s="15" t="str">
        <x:v>Referenced content is unavailable to the agent</x:v>
      </x:c>
      <x:c r="S109" s="15" t="n">
        <x:v>4</x:v>
      </x:c>
      <x:c r="T109" s="15" t="str">
        <x:v>various</x:v>
      </x:c>
      <x:c r="U109" s="15" t="str">
        <x:v>future_stl</x:v>
      </x:c>
      <x:c r="V109" s="15" t="str"/>
      <x:c r="W109" s="15" t="str"/>
    </x:row>
    <x:row r="110">
      <x:c r="A110" s="15" t="str">
        <x:v>NLSTL150-109</x:v>
      </x:c>
      <x:c r="B110" s="15" t="str">
        <x:v>paper_challenge</x:v>
      </x:c>
      <x:c r="C110" s="15" t="str">
        <x:v>ClarifySTL</x:v>
      </x:c>
      <x:c r="D110" s="15" t="str">
        <x:v>limitation_probe</x:v>
      </x:c>
      <x:c r="E110" s="15" t="str">
        <x:v>limitation_constructed</x:v>
      </x:c>
      <x:c r="F110" s="15" t="str">
        <x:v>Constructed from multi-defect, interaction-dependence, and out-of-scope failure modes</x:v>
      </x:c>
      <x:c r="G110" s="15" t="str">
        <x:v>https://arxiv.org/abs/2605.01209</x:v>
      </x:c>
      <x:c r="H110" s="15" t="str">
        <x:v>battery control</x:v>
      </x:c>
      <x:c r="I110" s="15" t="str">
        <x:v>clarify_then_translate</x:v>
      </x:c>
      <x:c r="J110" s="15" t="str">
        <x:v>Prevent battery over-discharge.</x:v>
      </x:c>
      <x:c r="K110" s="15" t="str"/>
      <x:c r="L110" s="15" t="str"/>
      <x:c r="M110" s="15" t="str">
        <x:v>numerical_and_conditional_vagueness</x:v>
      </x:c>
      <x:c r="N110" s="15" t="str">
        <x:v>Which state-of-charge threshold defines over-discharge, and what response is required?</x:v>
      </x:c>
      <x:c r="O110" s="15" t="str">
        <x:v>Below 15% is over-discharge; disconnect the load within 1 second.</x:v>
      </x:c>
      <x:c r="P110" s="15" t="str">
        <x:v>Whenever state of charge is below 15%, disconnect the load within 1 second.</x:v>
      </x:c>
      <x:c r="Q110" s="15" t="str">
        <x:v>G((soc &lt; 15) -&gt; F[0,1](load_connected = 0))</x:v>
      </x:c>
      <x:c r="R110" s="15" t="str">
        <x:v>Domain-specific threshold cannot safely be guessed</x:v>
      </x:c>
      <x:c r="S110" s="15" t="n">
        <x:v>4</x:v>
      </x:c>
      <x:c r="T110" s="15" t="str">
        <x:v>various</x:v>
      </x:c>
      <x:c r="U110" s="15" t="str">
        <x:v>future_stl</x:v>
      </x:c>
      <x:c r="V110" s="15" t="str"/>
      <x:c r="W110" s="15" t="str"/>
    </x:row>
    <x:row r="111">
      <x:c r="A111" s="15" t="str">
        <x:v>NLSTL150-110</x:v>
      </x:c>
      <x:c r="B111" s="15" t="str">
        <x:v>paper_challenge</x:v>
      </x:c>
      <x:c r="C111" s="15" t="str">
        <x:v>ClarifySTL</x:v>
      </x:c>
      <x:c r="D111" s="15" t="str">
        <x:v>limitation_probe</x:v>
      </x:c>
      <x:c r="E111" s="15" t="str">
        <x:v>limitation_constructed</x:v>
      </x:c>
      <x:c r="F111" s="15" t="str">
        <x:v>Constructed from multi-defect, interaction-dependence, and out-of-scope failure modes</x:v>
      </x:c>
      <x:c r="G111" s="15" t="str">
        <x:v>https://arxiv.org/abs/2605.01209</x:v>
      </x:c>
      <x:c r="H111" s="15" t="str">
        <x:v>process control</x:v>
      </x:c>
      <x:c r="I111" s="15" t="str">
        <x:v>clarify_then_translate</x:v>
      </x:c>
      <x:c r="J111" s="15" t="str">
        <x:v>Maintain pressure below 30.</x:v>
      </x:c>
      <x:c r="K111" s="15" t="str"/>
      <x:c r="L111" s="15" t="str"/>
      <x:c r="M111" s="15" t="str">
        <x:v>unknown_units</x:v>
      </x:c>
      <x:c r="N111" s="15" t="str">
        <x:v>Is pressure measured in psi, bar, kPa, or another unit?</x:v>
      </x:c>
      <x:c r="O111" s="15" t="str">
        <x:v>30 psi.</x:v>
      </x:c>
      <x:c r="P111" s="15" t="str">
        <x:v>Pressure must always remain below 30 psi.</x:v>
      </x:c>
      <x:c r="Q111" s="15" t="str">
        <x:v>G(pressure_psi &lt; 30)</x:v>
      </x:c>
      <x:c r="R111" s="15" t="str">
        <x:v>A number is present but its unit is ambiguous</x:v>
      </x:c>
      <x:c r="S111" s="15" t="n">
        <x:v>3</x:v>
      </x:c>
      <x:c r="T111" s="15" t="str">
        <x:v>various</x:v>
      </x:c>
      <x:c r="U111" s="15" t="str">
        <x:v>future_stl</x:v>
      </x:c>
      <x:c r="V111" s="15" t="str"/>
      <x:c r="W111" s="15" t="str"/>
    </x:row>
    <x:row r="112">
      <x:c r="A112" s="15" t="str">
        <x:v>NLSTL150-111</x:v>
      </x:c>
      <x:c r="B112" s="15" t="str">
        <x:v>paper_challenge</x:v>
      </x:c>
      <x:c r="C112" s="15" t="str">
        <x:v>ClarifySTL</x:v>
      </x:c>
      <x:c r="D112" s="15" t="str">
        <x:v>limitation_probe</x:v>
      </x:c>
      <x:c r="E112" s="15" t="str">
        <x:v>limitation_constructed</x:v>
      </x:c>
      <x:c r="F112" s="15" t="str">
        <x:v>Constructed from multi-defect, interaction-dependence, and out-of-scope failure modes</x:v>
      </x:c>
      <x:c r="G112" s="15" t="str">
        <x:v>https://arxiv.org/abs/2605.01209</x:v>
      </x:c>
      <x:c r="H112" s="15" t="str">
        <x:v>generic</x:v>
      </x:c>
      <x:c r="I112" s="15" t="str">
        <x:v>clarify_then_translate</x:v>
      </x:c>
      <x:c r="J112" s="15" t="str">
        <x:v>Whenever A occurs, B must eventually remain true for 5 seconds within 20 seconds.</x:v>
      </x:c>
      <x:c r="K112" s="15" t="str"/>
      <x:c r="L112" s="15" t="str"/>
      <x:c r="M112" s="15" t="str">
        <x:v>semantic_ambiguity</x:v>
      </x:c>
      <x:c r="N112" s="15" t="str">
        <x:v>Must the full 5-second persistence interval finish within 20 seconds after A?</x:v>
      </x:c>
      <x:c r="O112" s="15" t="str">
        <x:v>Yes.</x:v>
      </x:c>
      <x:c r="P112" s="15" t="str">
        <x:v>Whenever A occurs, B must start a 5-second continuous true interval no later than 15 seconds afterward.</x:v>
      </x:c>
      <x:c r="Q112" s="15" t="str">
        <x:v>G(rise(A = 1) -&gt; F[0,15](G[0,5](B = 1)))</x:v>
      </x:c>
      <x:c r="R112" s="15" t="str">
        <x:v>Whether the 5-second interval must fit wholly inside the 20-second response window</x:v>
      </x:c>
      <x:c r="S112" s="15" t="n">
        <x:v>5</x:v>
      </x:c>
      <x:c r="T112" s="15" t="str">
        <x:v>various</x:v>
      </x:c>
      <x:c r="U112" s="15" t="str">
        <x:v>future_stl</x:v>
      </x:c>
      <x:c r="V112" s="15" t="str"/>
      <x:c r="W112" s="15" t="str"/>
    </x:row>
    <x:row r="113">
      <x:c r="A113" s="15" t="str">
        <x:v>NLSTL150-112</x:v>
      </x:c>
      <x:c r="B113" s="15" t="str">
        <x:v>paper_challenge</x:v>
      </x:c>
      <x:c r="C113" s="15" t="str">
        <x:v>ClarifySTL</x:v>
      </x:c>
      <x:c r="D113" s="15" t="str">
        <x:v>limitation_probe</x:v>
      </x:c>
      <x:c r="E113" s="15" t="str">
        <x:v>limitation_constructed</x:v>
      </x:c>
      <x:c r="F113" s="15" t="str">
        <x:v>Constructed from multi-defect, interaction-dependence, and out-of-scope failure modes</x:v>
      </x:c>
      <x:c r="G113" s="15" t="str">
        <x:v>https://arxiv.org/abs/2605.01209</x:v>
      </x:c>
      <x:c r="H113" s="15" t="str">
        <x:v>industrial</x:v>
      </x:c>
      <x:c r="I113" s="15" t="str">
        <x:v>translate</x:v>
      </x:c>
      <x:c r="J113" s="15" t="str">
        <x:v>Whenever pressure exceeds 10 bar, open the relief valve within 2 seconds.</x:v>
      </x:c>
      <x:c r="K113" s="15" t="str">
        <x:v>G((pressure_bar &gt; 10) -&gt; F[0,2](relief_valve = 1))</x:v>
      </x:c>
      <x:c r="L113" s="15" t="str"/>
      <x:c r="M113" s="15" t="str">
        <x:v>none</x:v>
      </x:c>
      <x:c r="N113" s="15" t="str"/>
      <x:c r="O113" s="15" t="str"/>
      <x:c r="P113" s="15" t="str"/>
      <x:c r="Q113" s="15" t="str"/>
      <x:c r="R113" s="15" t="str">
        <x:v>A clarification system should not ask unnecessary questions on a complete requirement</x:v>
      </x:c>
      <x:c r="S113" s="15" t="n">
        <x:v>2</x:v>
      </x:c>
      <x:c r="T113" s="15" t="str">
        <x:v>various</x:v>
      </x:c>
      <x:c r="U113" s="15" t="str">
        <x:v>future_stl</x:v>
      </x:c>
      <x:c r="V113" s="15" t="str"/>
      <x:c r="W113" s="15" t="str"/>
    </x:row>
    <x:row r="114">
      <x:c r="A114" s="15" t="str">
        <x:v>NLSTL150-113</x:v>
      </x:c>
      <x:c r="B114" s="15" t="str">
        <x:v>paper_challenge</x:v>
      </x:c>
      <x:c r="C114" s="15" t="str">
        <x:v>ClarifySTL</x:v>
      </x:c>
      <x:c r="D114" s="15" t="str">
        <x:v>limitation_probe</x:v>
      </x:c>
      <x:c r="E114" s="15" t="str">
        <x:v>limitation_constructed</x:v>
      </x:c>
      <x:c r="F114" s="15" t="str">
        <x:v>Constructed from multi-defect, interaction-dependence, and out-of-scope failure modes</x:v>
      </x:c>
      <x:c r="G114" s="15" t="str">
        <x:v>https://arxiv.org/abs/2605.01209</x:v>
      </x:c>
      <x:c r="H114" s="15" t="str">
        <x:v>control</x:v>
      </x:c>
      <x:c r="I114" s="15" t="str">
        <x:v>translate</x:v>
      </x:c>
      <x:c r="J114" s="15" t="str">
        <x:v>The controller must, at all times, keep the error below 0.1.</x:v>
      </x:c>
      <x:c r="K114" s="15" t="str">
        <x:v>G(error &lt; 0.1)</x:v>
      </x:c>
      <x:c r="L114" s="15" t="str"/>
      <x:c r="M114" s="15" t="str">
        <x:v>none</x:v>
      </x:c>
      <x:c r="N114" s="15" t="str"/>
      <x:c r="O114" s="15" t="str"/>
      <x:c r="P114" s="15" t="str"/>
      <x:c r="Q114" s="15" t="str"/>
      <x:c r="R114" s="15" t="str">
        <x:v>Words such as “keep” must not be mistaken for vague duration</x:v>
      </x:c>
      <x:c r="S114" s="15" t="n">
        <x:v>2</x:v>
      </x:c>
      <x:c r="T114" s="15" t="str">
        <x:v>various</x:v>
      </x:c>
      <x:c r="U114" s="15" t="str">
        <x:v>future_stl</x:v>
      </x:c>
      <x:c r="V114" s="15" t="str"/>
      <x:c r="W114" s="15" t="str"/>
    </x:row>
    <x:row r="115">
      <x:c r="A115" s="15" t="str">
        <x:v>NLSTL150-114</x:v>
      </x:c>
      <x:c r="B115" s="15" t="str">
        <x:v>paper_challenge</x:v>
      </x:c>
      <x:c r="C115" s="15" t="str">
        <x:v>ClarifySTL</x:v>
      </x:c>
      <x:c r="D115" s="15" t="str">
        <x:v>limitation_probe</x:v>
      </x:c>
      <x:c r="E115" s="15" t="str">
        <x:v>limitation_constructed</x:v>
      </x:c>
      <x:c r="F115" s="15" t="str">
        <x:v>Constructed from multi-defect, interaction-dependence, and out-of-scope failure modes</x:v>
      </x:c>
      <x:c r="G115" s="15" t="str">
        <x:v>https://arxiv.org/abs/2605.01209</x:v>
      </x:c>
      <x:c r="H115" s="15" t="str">
        <x:v>monitoring</x:v>
      </x:c>
      <x:c r="I115" s="15" t="str">
        <x:v>clarify_then_translate</x:v>
      </x:c>
      <x:c r="J115" s="15" t="str">
        <x:v>Ten seconds after the second alarm, reset the system.</x:v>
      </x:c>
      <x:c r="K115" s="15" t="str"/>
      <x:c r="L115" s="15" t="str"/>
      <x:c r="M115" s="15" t="str">
        <x:v>semantic_and_referential_ambiguity</x:v>
      </x:c>
      <x:c r="N115" s="15" t="str">
        <x:v>How is the second alarm represented, and should reset occur exactly or within a window?</x:v>
      </x:c>
      <x:c r="O115" s="15" t="str">
        <x:v>A counter signal alarm_count is available; reset exactly 10 seconds after alarm_count becomes 2.</x:v>
      </x:c>
      <x:c r="P115" s="15" t="str">
        <x:v>When alarm_count first becomes 2, reset must occur 10 seconds later.</x:v>
      </x:c>
      <x:c r="Q115" s="15" t="str">
        <x:v>G(rise(alarm_count = 2) -&gt; F[10,10](reset = 1))</x:v>
      </x:c>
      <x:c r="R115" s="15" t="str">
        <x:v>Ordinal event reference requires event counting or explicit state</x:v>
      </x:c>
      <x:c r="S115" s="15" t="n">
        <x:v>5</x:v>
      </x:c>
      <x:c r="T115" s="15" t="str">
        <x:v>various</x:v>
      </x:c>
      <x:c r="U115" s="15" t="str">
        <x:v>future_stl</x:v>
      </x:c>
      <x:c r="V115" s="15" t="str"/>
      <x:c r="W115" s="15" t="str"/>
    </x:row>
    <x:row r="116">
      <x:c r="A116" s="15" t="str">
        <x:v>NLSTL150-115</x:v>
      </x:c>
      <x:c r="B116" s="15" t="str">
        <x:v>paper_challenge</x:v>
      </x:c>
      <x:c r="C116" s="15" t="str">
        <x:v>ClarifySTL</x:v>
      </x:c>
      <x:c r="D116" s="15" t="str">
        <x:v>limitation_probe</x:v>
      </x:c>
      <x:c r="E116" s="15" t="str">
        <x:v>limitation_constructed</x:v>
      </x:c>
      <x:c r="F116" s="15" t="str">
        <x:v>Constructed from multi-defect, interaction-dependence, and out-of-scope failure modes</x:v>
      </x:c>
      <x:c r="G116" s="15" t="str">
        <x:v>https://arxiv.org/abs/2605.01209</x:v>
      </x:c>
      <x:c r="H116" s="15" t="str">
        <x:v>control</x:v>
      </x:c>
      <x:c r="I116" s="15" t="str">
        <x:v>clarify_then_translate</x:v>
      </x:c>
      <x:c r="J116" s="15" t="str">
        <x:v>Switch to safe mode when the system is unstable.</x:v>
      </x:c>
      <x:c r="K116" s="15" t="str"/>
      <x:c r="L116" s="15" t="str"/>
      <x:c r="M116" s="15" t="str">
        <x:v>conditional_vagueness</x:v>
      </x:c>
      <x:c r="N116" s="15" t="str">
        <x:v>Which measurable signals define instability?</x:v>
      </x:c>
      <x:c r="O116" s="15" t="str">
        <x:v>Instability means oscillation_amplitude above 0.5 or error_growth above 0.1 per second.</x:v>
      </x:c>
      <x:c r="P116" s="15" t="str">
        <x:v>Whenever oscillation amplitude exceeds 0.5 or error growth exceeds 0.1 per second, safe mode must activate.</x:v>
      </x:c>
      <x:c r="Q116" s="15" t="str">
        <x:v>G(((oscillation_amplitude &gt; 0.5) | (error_growth &gt; 0.1)) -&gt; (safe_mode = 1))</x:v>
      </x:c>
      <x:c r="R116" s="15" t="str">
        <x:v>Several plausible domain indicators may define the trigger</x:v>
      </x:c>
      <x:c r="S116" s="15" t="n">
        <x:v>4</x:v>
      </x:c>
      <x:c r="T116" s="15" t="str">
        <x:v>various</x:v>
      </x:c>
      <x:c r="U116" s="15" t="str">
        <x:v>future_stl</x:v>
      </x:c>
      <x:c r="V116" s="15" t="str"/>
      <x:c r="W116" s="15" t="str"/>
    </x:row>
    <x:row r="117">
      <x:c r="A117" s="15" t="str">
        <x:v>NLSTL150-116</x:v>
      </x:c>
      <x:c r="B117" s="15" t="str">
        <x:v>paper_challenge</x:v>
      </x:c>
      <x:c r="C117" s="15" t="str">
        <x:v>ClarifySTL</x:v>
      </x:c>
      <x:c r="D117" s="15" t="str">
        <x:v>limitation_probe</x:v>
      </x:c>
      <x:c r="E117" s="15" t="str">
        <x:v>limitation_constructed</x:v>
      </x:c>
      <x:c r="F117" s="15" t="str">
        <x:v>Constructed from multi-defect, interaction-dependence, and out-of-scope failure modes</x:v>
      </x:c>
      <x:c r="G117" s="15" t="str">
        <x:v>https://arxiv.org/abs/2605.01209</x:v>
      </x:c>
      <x:c r="H117" s="15" t="str">
        <x:v>industrial</x:v>
      </x:c>
      <x:c r="I117" s="15" t="str">
        <x:v>clarify_then_translate</x:v>
      </x:c>
      <x:c r="J117" s="15" t="str">
        <x:v>Within 10 seconds, keep the valve open for 5 seconds.</x:v>
      </x:c>
      <x:c r="K117" s="15" t="str"/>
      <x:c r="L117" s="15" t="str"/>
      <x:c r="M117" s="15" t="str">
        <x:v>semantic_ambiguity</x:v>
      </x:c>
      <x:c r="N117" s="15" t="str">
        <x:v>Must the entire 5-second open interval finish within 10 seconds?</x:v>
      </x:c>
      <x:c r="O117" s="15" t="str">
        <x:v>Yes.</x:v>
      </x:c>
      <x:c r="P117" s="15" t="str">
        <x:v>The valve must begin a continuous 5-second open interval within the next 5 seconds.</x:v>
      </x:c>
      <x:c r="Q117" s="15" t="str">
        <x:v>F[0,5](G[0,5](valve_open = 1))</x:v>
      </x:c>
      <x:c r="R117" s="15" t="str">
        <x:v>Start deadline versus full-interval deadline</x:v>
      </x:c>
      <x:c r="S117" s="15" t="n">
        <x:v>4</x:v>
      </x:c>
      <x:c r="T117" s="15" t="str">
        <x:v>various</x:v>
      </x:c>
      <x:c r="U117" s="15" t="str">
        <x:v>future_stl</x:v>
      </x:c>
      <x:c r="V117" s="15" t="str"/>
      <x:c r="W117" s="15" t="str"/>
    </x:row>
    <x:row r="118">
      <x:c r="A118" s="15" t="str">
        <x:v>NLSTL150-117</x:v>
      </x:c>
      <x:c r="B118" s="15" t="str">
        <x:v>paper_challenge</x:v>
      </x:c>
      <x:c r="C118" s="15" t="str">
        <x:v>ClarifySTL</x:v>
      </x:c>
      <x:c r="D118" s="15" t="str">
        <x:v>limitation_probe</x:v>
      </x:c>
      <x:c r="E118" s="15" t="str">
        <x:v>limitation_constructed</x:v>
      </x:c>
      <x:c r="F118" s="15" t="str">
        <x:v>Constructed from multi-defect, interaction-dependence, and out-of-scope failure modes</x:v>
      </x:c>
      <x:c r="G118" s="15" t="str">
        <x:v>https://arxiv.org/abs/2605.01209</x:v>
      </x:c>
      <x:c r="H118" s="15" t="str">
        <x:v>industrial</x:v>
      </x:c>
      <x:c r="I118" s="15" t="str">
        <x:v>clarify_then_translate</x:v>
      </x:c>
      <x:c r="J118" s="15" t="str">
        <x:v>Unless override is active, if temperature exceeds 80 or pressure exceeds 10, shut down.</x:v>
      </x:c>
      <x:c r="K118" s="15" t="str"/>
      <x:c r="L118" s="15" t="str"/>
      <x:c r="M118" s="15" t="str">
        <x:v>semantic_ambiguity</x:v>
      </x:c>
      <x:c r="N118" s="15" t="str">
        <x:v>Does override disable both triggers, or only the pressure trigger?</x:v>
      </x:c>
      <x:c r="O118" s="15" t="str">
        <x:v>It disables both triggers.</x:v>
      </x:c>
      <x:c r="P118" s="15" t="str">
        <x:v>If override is inactive and either temperature exceeds 80 or pressure exceeds 10, shut down.</x:v>
      </x:c>
      <x:c r="Q118" s="15" t="str">
        <x:v>G((!(override = 1) &amp; ((temperature &gt; 80) | (pressure &gt; 10))) -&gt; (shutdown = 1))</x:v>
      </x:c>
      <x:c r="R118" s="15" t="str">
        <x:v>Scope of unless over a disjunction and implication</x:v>
      </x:c>
      <x:c r="S118" s="15" t="n">
        <x:v>4</x:v>
      </x:c>
      <x:c r="T118" s="15" t="str">
        <x:v>various</x:v>
      </x:c>
      <x:c r="U118" s="15" t="str">
        <x:v>future_stl</x:v>
      </x:c>
      <x:c r="V118" s="15" t="str"/>
      <x:c r="W118" s="15" t="str"/>
    </x:row>
    <x:row r="119">
      <x:c r="A119" s="15" t="str">
        <x:v>NLSTL150-118</x:v>
      </x:c>
      <x:c r="B119" s="15" t="str">
        <x:v>paper_challenge</x:v>
      </x:c>
      <x:c r="C119" s="15" t="str">
        <x:v>ClarifySTL</x:v>
      </x:c>
      <x:c r="D119" s="15" t="str">
        <x:v>limitation_probe</x:v>
      </x:c>
      <x:c r="E119" s="15" t="str">
        <x:v>limitation_constructed</x:v>
      </x:c>
      <x:c r="F119" s="15" t="str">
        <x:v>Constructed from multi-defect, interaction-dependence, and out-of-scope failure modes</x:v>
      </x:c>
      <x:c r="G119" s="15" t="str">
        <x:v>https://arxiv.org/abs/2605.01209</x:v>
      </x:c>
      <x:c r="H119" s="15" t="str">
        <x:v>autonomous driving</x:v>
      </x:c>
      <x:c r="I119" s="15" t="str">
        <x:v>clarify_then_translate</x:v>
      </x:c>
      <x:c r="J119" s="15" t="str">
        <x:v>Remain stopped until the light turns green.</x:v>
      </x:c>
      <x:c r="K119" s="15" t="str"/>
      <x:c r="L119" s="15" t="str"/>
      <x:c r="M119" s="15" t="str">
        <x:v>semantic_ambiguity</x:v>
      </x:c>
      <x:c r="N119" s="15" t="str">
        <x:v>Must the light eventually turn green, or is remaining stopped forever acceptable if it never does?</x:v>
      </x:c>
      <x:c r="O119" s="15" t="str">
        <x:v>The light must eventually turn green.</x:v>
      </x:c>
      <x:c r="P119" s="15" t="str">
        <x:v>The vehicle must remain stopped until the light turns green, and the light is required eventually to turn green.</x:v>
      </x:c>
      <x:c r="Q119" s="15" t="str">
        <x:v>(speed = 0) U (light_green = 1)</x:v>
      </x:c>
      <x:c r="R119" s="15" t="str">
        <x:v>Strong until requires eventual green; weak-until interpretation does not</x:v>
      </x:c>
      <x:c r="S119" s="15" t="n">
        <x:v>4</x:v>
      </x:c>
      <x:c r="T119" s="15" t="str">
        <x:v>U</x:v>
      </x:c>
      <x:c r="U119" s="15" t="str">
        <x:v>future_stl</x:v>
      </x:c>
      <x:c r="V119" s="15" t="str"/>
      <x:c r="W119" s="15" t="str"/>
    </x:row>
    <x:row r="120">
      <x:c r="A120" s="15" t="str">
        <x:v>NLSTL150-119</x:v>
      </x:c>
      <x:c r="B120" s="15" t="str">
        <x:v>paper_challenge</x:v>
      </x:c>
      <x:c r="C120" s="15" t="str">
        <x:v>ClarifySTL</x:v>
      </x:c>
      <x:c r="D120" s="15" t="str">
        <x:v>limitation_probe</x:v>
      </x:c>
      <x:c r="E120" s="15" t="str">
        <x:v>limitation_constructed</x:v>
      </x:c>
      <x:c r="F120" s="15" t="str">
        <x:v>Constructed from multi-defect, interaction-dependence, and out-of-scope failure modes</x:v>
      </x:c>
      <x:c r="G120" s="15" t="str">
        <x:v>https://arxiv.org/abs/2605.01209</x:v>
      </x:c>
      <x:c r="H120" s="15" t="str">
        <x:v>robotics</x:v>
      </x:c>
      <x:c r="I120" s="15" t="str">
        <x:v>abstain_or_request_context</x:v>
      </x:c>
      <x:c r="J120" s="15" t="str">
        <x:v>Always remain outside zone A, and enter zone A within 20 seconds.</x:v>
      </x:c>
      <x:c r="K120" s="15" t="str"/>
      <x:c r="L120" s="15" t="str"/>
      <x:c r="M120" s="15" t="str">
        <x:v>inconsistent_requirement</x:v>
      </x:c>
      <x:c r="N120" s="15" t="str">
        <x:v>These two clauses conflict. Should one be removed or scoped to a different interval?</x:v>
      </x:c>
      <x:c r="O120" s="15" t="str">
        <x:v>No correction is provided.</x:v>
      </x:c>
      <x:c r="P120" s="15" t="str">
        <x:v>The requirement remains inconsistent.</x:v>
      </x:c>
      <x:c r="Q120" s="15" t="str"/>
      <x:c r="R120" s="15" t="str">
        <x:v>Clarification must detect contradiction rather than merely fill slots</x:v>
      </x:c>
      <x:c r="S120" s="15" t="n">
        <x:v>4</x:v>
      </x:c>
      <x:c r="T120" s="15" t="str">
        <x:v>G,F,!,&amp;</x:v>
      </x:c>
      <x:c r="U120" s="15" t="str">
        <x:v>future_stl</x:v>
      </x:c>
      <x:c r="V120" s="15" t="str"/>
      <x:c r="W120" s="15" t="str"/>
    </x:row>
    <x:row r="121">
      <x:c r="A121" s="15" t="str">
        <x:v>NLSTL150-120</x:v>
      </x:c>
      <x:c r="B121" s="15" t="str">
        <x:v>paper_challenge</x:v>
      </x:c>
      <x:c r="C121" s="15" t="str">
        <x:v>ClarifySTL</x:v>
      </x:c>
      <x:c r="D121" s="15" t="str">
        <x:v>limitation_probe</x:v>
      </x:c>
      <x:c r="E121" s="15" t="str">
        <x:v>limitation_constructed</x:v>
      </x:c>
      <x:c r="F121" s="15" t="str">
        <x:v>Constructed from multi-defect, interaction-dependence, and out-of-scope failure modes</x:v>
      </x:c>
      <x:c r="G121" s="15" t="str">
        <x:v>https://arxiv.org/abs/2605.01209</x:v>
      </x:c>
      <x:c r="H121" s="15" t="str">
        <x:v>manipulation</x:v>
      </x:c>
      <x:c r="I121" s="15" t="str">
        <x:v>clarify_then_translate</x:v>
      </x:c>
      <x:c r="J121" s="15" t="str">
        <x:v>After the object is ready, move it there soon and hold it for a while.</x:v>
      </x:c>
      <x:c r="K121" s="15" t="str"/>
      <x:c r="L121" s="15" t="str"/>
      <x:c r="M121" s="15" t="str">
        <x:v>multi_turn_referential_temporal_vagueness</x:v>
      </x:c>
      <x:c r="N121" s="15" t="str">
        <x:v>First, what location does “there” denote? Then, what response deadline and holding duration are required?</x:v>
      </x:c>
      <x:c r="O121" s="15" t="str">
        <x:v>The inspection fixture; move there within 5 seconds and hold it there for 10 seconds.</x:v>
      </x:c>
      <x:c r="P121" s="15" t="str">
        <x:v>Whenever the object becomes ready, move it to the inspection fixture within 5 seconds and keep it there for 10 seconds.</x:v>
      </x:c>
      <x:c r="Q121" s="15" t="str">
        <x:v>G(rise(object_ready = 1) -&gt; F[0,5](G[0,10](at_inspection_fixture = 1)))</x:v>
      </x:c>
      <x:c r="R121" s="15" t="str">
        <x:v>Later clarification depends on resolving an earlier referent</x:v>
      </x:c>
      <x:c r="S121" s="15" t="n">
        <x:v>5</x:v>
      </x:c>
      <x:c r="T121" s="15" t="str">
        <x:v>G,F,rise,-&gt;</x:v>
      </x:c>
      <x:c r="U121" s="15" t="str">
        <x:v>future_stl</x:v>
      </x:c>
      <x:c r="V121" s="15" t="str"/>
      <x:c r="W121" s="15" t="str"/>
    </x:row>
    <x:row r="122">
      <x:c r="A122" s="15" t="str">
        <x:v>NLSTL150-121</x:v>
      </x:c>
      <x:c r="B122" s="15" t="str">
        <x:v>robotics_real_world</x:v>
      </x:c>
      <x:c r="C122" s="15" t="str">
        <x:v>Formula-first robotics</x:v>
      </x:c>
      <x:c r="D122" s="15" t="str">
        <x:v>source_formula</x:v>
      </x:c>
      <x:c r="E122" s="15" t="str">
        <x:v>paper_explicit_paraphrase</x:v>
      </x:c>
      <x:c r="F122" s="15" t="str">
        <x:v>RTAMT, STDR case study, spec.stl</x:v>
      </x:c>
      <x:c r="G122" s="15" t="str">
        <x:v>https://arxiv.org/abs/2005.11827</x:v>
      </x:c>
      <x:c r="H122" s="15" t="str">
        <x:v>mobile robot runtime monitoring</x:v>
      </x:c>
      <x:c r="I122" s="15" t="str">
        <x:v>translate</x:v>
      </x:c>
      <x:c r="J122" s="15" t="str">
        <x:v>At all times, the robot's measured forward velocity must differ from the commanded forward velocity by no more than 0.5.</x:v>
      </x:c>
      <x:c r="K122" s="15" t="str">
        <x:v>G(abs(cmd_linear_x - robot_linear_x) &lt;= 0.5)</x:v>
      </x:c>
      <x:c r="L122" s="15" t="str"/>
      <x:c r="M122" s="15" t="str">
        <x:v>none</x:v>
      </x:c>
      <x:c r="N122" s="15" t="str"/>
      <x:c r="O122" s="15" t="str"/>
      <x:c r="P122" s="15" t="str"/>
      <x:c r="Q122" s="15" t="str"/>
      <x:c r="R122" s="15" t="str">
        <x:v>ROS signal grounding and runtime monitoring</x:v>
      </x:c>
      <x:c r="S122" s="15" t="n">
        <x:v>3</x:v>
      </x:c>
      <x:c r="T122" s="15" t="str">
        <x:v>G,abs</x:v>
      </x:c>
      <x:c r="U122" s="15" t="str">
        <x:v>future_stl</x:v>
      </x:c>
      <x:c r="V122" s="15" t="str">
        <x:v>ROS cmd_vel and odometry fields</x:v>
      </x:c>
      <x:c r="W122" s="15" t="str"/>
    </x:row>
    <x:row r="123">
      <x:c r="A123" s="15" t="str">
        <x:v>NLSTL150-122</x:v>
      </x:c>
      <x:c r="B123" s="15" t="str">
        <x:v>robotics_real_world</x:v>
      </x:c>
      <x:c r="C123" s="15" t="str">
        <x:v>Formula-first robotics</x:v>
      </x:c>
      <x:c r="D123" s="15" t="str">
        <x:v>source_formula</x:v>
      </x:c>
      <x:c r="E123" s="15" t="str">
        <x:v>paper_explicit_paraphrase</x:v>
      </x:c>
      <x:c r="F123" s="15" t="str">
        <x:v>RTAMT, HSR case study, no-collision requirement</x:v>
      </x:c>
      <x:c r="G123" s="15" t="str">
        <x:v>https://arxiv.org/abs/2005.11827</x:v>
      </x:c>
      <x:c r="H123" s="15" t="str">
        <x:v>service robotics</x:v>
      </x:c>
      <x:c r="I123" s="15" t="str">
        <x:v>translate</x:v>
      </x:c>
      <x:c r="J123" s="15" t="str">
        <x:v>The two robots must never come closer than d_min.</x:v>
      </x:c>
      <x:c r="K123" s="15" t="str">
        <x:v>G(distance(rob1_pos, rob2_pos) &gt;= d_min)</x:v>
      </x:c>
      <x:c r="L123" s="15" t="str"/>
      <x:c r="M123" s="15" t="str">
        <x:v>none</x:v>
      </x:c>
      <x:c r="N123" s="15" t="str"/>
      <x:c r="O123" s="15" t="str"/>
      <x:c r="P123" s="15" t="str"/>
      <x:c r="Q123" s="15" t="str"/>
      <x:c r="R123" s="15" t="str">
        <x:v>Multi-robot collision monitoring</x:v>
      </x:c>
      <x:c r="S123" s="15" t="n">
        <x:v>3</x:v>
      </x:c>
      <x:c r="T123" s="15" t="str">
        <x:v>G,distance</x:v>
      </x:c>
      <x:c r="U123" s="15" t="str">
        <x:v>future_stl</x:v>
      </x:c>
      <x:c r="V123" s="15" t="str">
        <x:v>rob1.pos,rob2.pos,d_min</x:v>
      </x:c>
      <x:c r="W123" s="15" t="str"/>
    </x:row>
    <x:row r="124">
      <x:c r="A124" s="15" t="str">
        <x:v>NLSTL150-123</x:v>
      </x:c>
      <x:c r="B124" s="15" t="str">
        <x:v>robotics_real_world</x:v>
      </x:c>
      <x:c r="C124" s="15" t="str">
        <x:v>Formula-first robotics</x:v>
      </x:c>
      <x:c r="D124" s="15" t="str">
        <x:v>source_formula</x:v>
      </x:c>
      <x:c r="E124" s="15" t="str">
        <x:v>paper_explicit_paraphrase</x:v>
      </x:c>
      <x:c r="F124" s="15" t="str">
        <x:v>RTAMT, HSR proximity-response requirement</x:v>
      </x:c>
      <x:c r="G124" s="15" t="str">
        <x:v>https://arxiv.org/abs/2005.11827</x:v>
      </x:c>
      <x:c r="H124" s="15" t="str">
        <x:v>service robotics</x:v>
      </x:c>
      <x:c r="I124" s="15" t="str">
        <x:v>translate</x:v>
      </x:c>
      <x:c r="J124" s="15" t="str">
        <x:v>Whenever robot 2 comes within distance d of robot 1, robot 1 must reach within d_prime of location L within T seconds.</x:v>
      </x:c>
      <x:c r="K124" s="15" t="str">
        <x:v>G((distance(rob1_pos, rob2_pos) &lt; d) -&gt; F[0,T](distance(rob1_pos, L) &lt; d_prime))</x:v>
      </x:c>
      <x:c r="L124" s="15" t="str"/>
      <x:c r="M124" s="15" t="str">
        <x:v>none</x:v>
      </x:c>
      <x:c r="N124" s="15" t="str"/>
      <x:c r="O124" s="15" t="str"/>
      <x:c r="P124" s="15" t="str"/>
      <x:c r="Q124" s="15" t="str"/>
      <x:c r="R124" s="15" t="str">
        <x:v>Geometric trigger and bounded spatial response</x:v>
      </x:c>
      <x:c r="S124" s="15" t="n">
        <x:v>4</x:v>
      </x:c>
      <x:c r="T124" s="15" t="str">
        <x:v>G,F,distance,-&gt;</x:v>
      </x:c>
      <x:c r="U124" s="15" t="str">
        <x:v>future_stl</x:v>
      </x:c>
      <x:c r="V124" s="15" t="str">
        <x:v>robot positions and target location</x:v>
      </x:c>
      <x:c r="W124" s="15" t="str"/>
    </x:row>
    <x:row r="125">
      <x:c r="A125" s="15" t="str">
        <x:v>NLSTL150-124</x:v>
      </x:c>
      <x:c r="B125" s="15" t="str">
        <x:v>robotics_real_world</x:v>
      </x:c>
      <x:c r="C125" s="15" t="str">
        <x:v>Formula-first robotics</x:v>
      </x:c>
      <x:c r="D125" s="15" t="str">
        <x:v>source_formula</x:v>
      </x:c>
      <x:c r="E125" s="15" t="str">
        <x:v>paper_explicit_paraphrase</x:v>
      </x:c>
      <x:c r="F125" s="15" t="str">
        <x:v>RTAMT appendix, request-grant example</x:v>
      </x:c>
      <x:c r="G125" s="15" t="str">
        <x:v>https://arxiv.org/abs/2005.11827</x:v>
      </x:c>
      <x:c r="H125" s="15" t="str">
        <x:v>robotic/CPS protocol</x:v>
      </x:c>
      <x:c r="I125" s="15" t="str">
        <x:v>translate</x:v>
      </x:c>
      <x:c r="J125" s="15" t="str">
        <x:v>Every request whose value reaches at least 3 must be followed by a grant whose value reaches at least 3 within 5 time units.</x:v>
      </x:c>
      <x:c r="K125" s="15" t="str">
        <x:v>G((req &gt;= 3) -&gt; F[0,5](gnt &gt;= 3))</x:v>
      </x:c>
      <x:c r="L125" s="15" t="str"/>
      <x:c r="M125" s="15" t="str">
        <x:v>none</x:v>
      </x:c>
      <x:c r="N125" s="15" t="str"/>
      <x:c r="O125" s="15" t="str"/>
      <x:c r="P125" s="15" t="str"/>
      <x:c r="Q125" s="15" t="str"/>
      <x:c r="R125" s="15" t="str">
        <x:v>Interface-aware input/output response</x:v>
      </x:c>
      <x:c r="S125" s="15" t="n">
        <x:v>3</x:v>
      </x:c>
      <x:c r="T125" s="15" t="str">
        <x:v>G,F,-&gt;</x:v>
      </x:c>
      <x:c r="U125" s="15" t="str">
        <x:v>future_stl</x:v>
      </x:c>
      <x:c r="V125" s="15" t="str">
        <x:v>req input; gnt output</x:v>
      </x:c>
      <x:c r="W125" s="15" t="str"/>
    </x:row>
    <x:row r="126">
      <x:c r="A126" s="15" t="str">
        <x:v>NLSTL150-125</x:v>
      </x:c>
      <x:c r="B126" s="15" t="str">
        <x:v>robotics_real_world</x:v>
      </x:c>
      <x:c r="C126" s="15" t="str">
        <x:v>Formula-first robotics</x:v>
      </x:c>
      <x:c r="D126" s="15" t="str">
        <x:v>source_formula</x:v>
      </x:c>
      <x:c r="E126" s="15" t="str">
        <x:v>paper_explicit_paraphrase</x:v>
      </x:c>
      <x:c r="F126" s="15" t="str">
        <x:v>RTAMT appendix, aircraft elevator control</x:v>
      </x:c>
      <x:c r="G126" s="15" t="str">
        <x:v>https://arxiv.org/abs/2005.11827</x:v>
      </x:c>
      <x:c r="H126" s="15" t="str">
        <x:v>aircraft actuator control</x:v>
      </x:c>
      <x:c r="I126" s="15" t="str">
        <x:v>translate</x:v>
      </x:c>
      <x:c r="J126" s="15" t="str">
        <x:v>Whenever the pilot command is at least m, the actuator position must, within T time units, become less than n away from the command and remain that accurate for t time units.</x:v>
      </x:c>
      <x:c r="K126" s="15" t="str">
        <x:v>G((cmd &gt;= m) -&gt; F[0,T](G[0,t](abs(cmd - pos) &lt; n)))</x:v>
      </x:c>
      <x:c r="L126" s="15" t="str"/>
      <x:c r="M126" s="15" t="str">
        <x:v>none</x:v>
      </x:c>
      <x:c r="N126" s="15" t="str"/>
      <x:c r="O126" s="15" t="str"/>
      <x:c r="P126" s="15" t="str"/>
      <x:c r="Q126" s="15" t="str"/>
      <x:c r="R126" s="15" t="str">
        <x:v>Nested settling-time and tracking requirement</x:v>
      </x:c>
      <x:c r="S126" s="15" t="n">
        <x:v>5</x:v>
      </x:c>
      <x:c r="T126" s="15" t="str">
        <x:v>G,F,abs,-&gt;</x:v>
      </x:c>
      <x:c r="U126" s="15" t="str">
        <x:v>future_stl</x:v>
      </x:c>
      <x:c r="V126" s="15" t="str">
        <x:v>cmd,pos,m,n,T,t</x:v>
      </x:c>
      <x:c r="W126" s="15" t="str"/>
    </x:row>
    <x:row r="127">
      <x:c r="A127" s="15" t="str">
        <x:v>NLSTL150-126</x:v>
      </x:c>
      <x:c r="B127" s="15" t="str">
        <x:v>robotics_real_world</x:v>
      </x:c>
      <x:c r="C127" s="15" t="str">
        <x:v>Formula-first robotics</x:v>
      </x:c>
      <x:c r="D127" s="15" t="str">
        <x:v>source_formula</x:v>
      </x:c>
      <x:c r="E127" s="15" t="str">
        <x:v>source_aligned</x:v>
      </x:c>
      <x:c r="F127" s="15" t="str">
        <x:v>RTAMT/STDR command-response monitoring pattern</x:v>
      </x:c>
      <x:c r="G127" s="15" t="str">
        <x:v>https://arxiv.org/abs/2005.11827</x:v>
      </x:c>
      <x:c r="H127" s="15" t="str">
        <x:v>mobile robot runtime monitoring</x:v>
      </x:c>
      <x:c r="I127" s="15" t="str">
        <x:v>translate</x:v>
      </x:c>
      <x:c r="J127" s="15" t="str">
        <x:v>During the next 10 seconds, measured angular velocity must remain within 0.2 rad/s of the commanded angular velocity.</x:v>
      </x:c>
      <x:c r="K127" s="15" t="str">
        <x:v>G[0,10](abs(cmd_angular_z - robot_angular_z) &lt;= 0.2)</x:v>
      </x:c>
      <x:c r="L127" s="15" t="str"/>
      <x:c r="M127" s="15" t="str">
        <x:v>none</x:v>
      </x:c>
      <x:c r="N127" s="15" t="str"/>
      <x:c r="O127" s="15" t="str"/>
      <x:c r="P127" s="15" t="str"/>
      <x:c r="Q127" s="15" t="str"/>
      <x:c r="R127" s="15" t="str">
        <x:v>ROS field grounding with a bounded monitoring window</x:v>
      </x:c>
      <x:c r="S127" s="15" t="n">
        <x:v>3</x:v>
      </x:c>
      <x:c r="T127" s="15" t="str">
        <x:v>G,abs</x:v>
      </x:c>
      <x:c r="U127" s="15" t="str">
        <x:v>future_stl</x:v>
      </x:c>
      <x:c r="V127" s="15" t="str">
        <x:v>ROS angular velocity fields</x:v>
      </x:c>
      <x:c r="W127" s="15" t="str">
        <x:v>Source-aligned variant, not quoted as a separate formula in the paper.</x:v>
      </x:c>
    </x:row>
    <x:row r="128">
      <x:c r="A128" s="15" t="str">
        <x:v>NLSTL150-127</x:v>
      </x:c>
      <x:c r="B128" s="15" t="str">
        <x:v>robotics_real_world</x:v>
      </x:c>
      <x:c r="C128" s="15" t="str">
        <x:v>Formula-first robotics</x:v>
      </x:c>
      <x:c r="D128" s="15" t="str">
        <x:v>source_formula</x:v>
      </x:c>
      <x:c r="E128" s="15" t="str">
        <x:v>source_aligned</x:v>
      </x:c>
      <x:c r="F128" s="15" t="str">
        <x:v>Multi-agent STL planning, automatic task-allocation pattern</x:v>
      </x:c>
      <x:c r="G128" s="15" t="str">
        <x:v>https://arxiv.org/abs/2201.05247</x:v>
      </x:c>
      <x:c r="H128" s="15" t="str">
        <x:v>multi-robot planning</x:v>
      </x:c>
      <x:c r="I128" s="15" t="str">
        <x:v>translate</x:v>
      </x:c>
      <x:c r="J128" s="15" t="str">
        <x:v>Every goal region must be visited by at least one robot before time T.</x:v>
      </x:c>
      <x:c r="K128" s="15" t="str">
        <x:v>AND_j(F[0,T](OR_i(in_goal(robot_i, goal_j))))</x:v>
      </x:c>
      <x:c r="L128" s="15" t="str"/>
      <x:c r="M128" s="15" t="str">
        <x:v>none</x:v>
      </x:c>
      <x:c r="N128" s="15" t="str"/>
      <x:c r="O128" s="15" t="str"/>
      <x:c r="P128" s="15" t="str"/>
      <x:c r="Q128" s="15" t="str"/>
      <x:c r="R128" s="15" t="str">
        <x:v>Quantified multi-agent task allocation</x:v>
      </x:c>
      <x:c r="S128" s="15" t="n">
        <x:v>5</x:v>
      </x:c>
      <x:c r="T128" s="15" t="str">
        <x:v>F,AND_j,OR_i</x:v>
      </x:c>
      <x:c r="U128" s="15" t="str">
        <x:v>parameterized_stl</x:v>
      </x:c>
      <x:c r="V128" s="15" t="str">
        <x:v>robot positions and goal-region predicates</x:v>
      </x:c>
      <x:c r="W128" s="15" t="str"/>
    </x:row>
    <x:row r="129">
      <x:c r="A129" s="15" t="str">
        <x:v>NLSTL150-128</x:v>
      </x:c>
      <x:c r="B129" s="15" t="str">
        <x:v>robotics_real_world</x:v>
      </x:c>
      <x:c r="C129" s="15" t="str">
        <x:v>Formula-first robotics</x:v>
      </x:c>
      <x:c r="D129" s="15" t="str">
        <x:v>source_formula</x:v>
      </x:c>
      <x:c r="E129" s="15" t="str">
        <x:v>source_aligned</x:v>
      </x:c>
      <x:c r="F129" s="15" t="str">
        <x:v>Multi-agent STL planning, collision-avoidance constraint</x:v>
      </x:c>
      <x:c r="G129" s="15" t="str">
        <x:v>https://arxiv.org/abs/2201.05247</x:v>
      </x:c>
      <x:c r="H129" s="15" t="str">
        <x:v>multi-robot planning</x:v>
      </x:c>
      <x:c r="I129" s="15" t="str">
        <x:v>translate</x:v>
      </x:c>
      <x:c r="J129" s="15" t="str">
        <x:v>All pairs of robots must remain at least d_safe apart throughout the mission.</x:v>
      </x:c>
      <x:c r="K129" s="15" t="str">
        <x:v>G(AND_{i&lt;j}(distance(p_i,p_j) &gt;= d_safe))</x:v>
      </x:c>
      <x:c r="L129" s="15" t="str"/>
      <x:c r="M129" s="15" t="str">
        <x:v>none</x:v>
      </x:c>
      <x:c r="N129" s="15" t="str"/>
      <x:c r="O129" s="15" t="str"/>
      <x:c r="P129" s="15" t="str"/>
      <x:c r="Q129" s="15" t="str"/>
      <x:c r="R129" s="15" t="str">
        <x:v>Pairwise collision avoidance over a robot team</x:v>
      </x:c>
      <x:c r="S129" s="15" t="n">
        <x:v>4</x:v>
      </x:c>
      <x:c r="T129" s="15" t="str">
        <x:v>G,AND,distance</x:v>
      </x:c>
      <x:c r="U129" s="15" t="str">
        <x:v>parameterized_stl</x:v>
      </x:c>
      <x:c r="V129" s="15" t="str">
        <x:v>positions p_i; safety distance d_safe</x:v>
      </x:c>
      <x:c r="W129" s="15" t="str"/>
    </x:row>
    <x:row r="130">
      <x:c r="A130" s="15" t="str">
        <x:v>NLSTL150-129</x:v>
      </x:c>
      <x:c r="B130" s="15" t="str">
        <x:v>robotics_real_world</x:v>
      </x:c>
      <x:c r="C130" s="15" t="str">
        <x:v>Formula-first robotics</x:v>
      </x:c>
      <x:c r="D130" s="15" t="str">
        <x:v>source_formula</x:v>
      </x:c>
      <x:c r="E130" s="15" t="str">
        <x:v>source_aligned</x:v>
      </x:c>
      <x:c r="F130" s="15" t="str">
        <x:v>Multi-agent STL planning, timed waypoint benchmark</x:v>
      </x:c>
      <x:c r="G130" s="15" t="str">
        <x:v>https://arxiv.org/abs/2201.05247</x:v>
      </x:c>
      <x:c r="H130" s="15" t="str">
        <x:v>multi-robot planning</x:v>
      </x:c>
      <x:c r="I130" s="15" t="str">
        <x:v>translate</x:v>
      </x:c>
      <x:c r="J130" s="15" t="str">
        <x:v>Robot 1 must reach region A between 10 and 20 seconds, and robot 2 must reach region B between 15 and 25 seconds.</x:v>
      </x:c>
      <x:c r="K130" s="15" t="str">
        <x:v>F[10,20](in_A_r1) &amp; F[15,25](in_B_r2)</x:v>
      </x:c>
      <x:c r="L130" s="15" t="str"/>
      <x:c r="M130" s="15" t="str">
        <x:v>none</x:v>
      </x:c>
      <x:c r="N130" s="15" t="str"/>
      <x:c r="O130" s="15" t="str"/>
      <x:c r="P130" s="15" t="str"/>
      <x:c r="Q130" s="15" t="str"/>
      <x:c r="R130" s="15" t="str">
        <x:v>Different timed goals for different agents</x:v>
      </x:c>
      <x:c r="S130" s="15" t="n">
        <x:v>3</x:v>
      </x:c>
      <x:c r="T130" s="15" t="str">
        <x:v>F,&amp;</x:v>
      </x:c>
      <x:c r="U130" s="15" t="str">
        <x:v>future_stl</x:v>
      </x:c>
      <x:c r="V130" s="15" t="str">
        <x:v>region membership predicates</x:v>
      </x:c>
      <x:c r="W130" s="15" t="str"/>
    </x:row>
    <x:row r="131">
      <x:c r="A131" s="15" t="str">
        <x:v>NLSTL150-130</x:v>
      </x:c>
      <x:c r="B131" s="15" t="str">
        <x:v>robotics_real_world</x:v>
      </x:c>
      <x:c r="C131" s="15" t="str">
        <x:v>Formula-first robotics</x:v>
      </x:c>
      <x:c r="D131" s="15" t="str">
        <x:v>source_formula</x:v>
      </x:c>
      <x:c r="E131" s="15" t="str">
        <x:v>source_aligned</x:v>
      </x:c>
      <x:c r="F131" s="15" t="str">
        <x:v>Multi-agent STL planning, sequential region task</x:v>
      </x:c>
      <x:c r="G131" s="15" t="str">
        <x:v>https://arxiv.org/abs/2201.05247</x:v>
      </x:c>
      <x:c r="H131" s="15" t="str">
        <x:v>mobile robot planning</x:v>
      </x:c>
      <x:c r="I131" s="15" t="str">
        <x:v>translate</x:v>
      </x:c>
      <x:c r="J131" s="15" t="str">
        <x:v>The rover must visit the sample region before visiting the communication region, both within 120 seconds.</x:v>
      </x:c>
      <x:c r="K131" s="15" t="str">
        <x:v>F[0,120](sample_region &amp; F[0,120](communication_region))</x:v>
      </x:c>
      <x:c r="L131" s="15" t="str"/>
      <x:c r="M131" s="15" t="str">
        <x:v>none</x:v>
      </x:c>
      <x:c r="N131" s="15" t="str"/>
      <x:c r="O131" s="15" t="str"/>
      <x:c r="P131" s="15" t="str"/>
      <x:c r="Q131" s="15" t="str"/>
      <x:c r="R131" s="15" t="str">
        <x:v>Ordered region visitation</x:v>
      </x:c>
      <x:c r="S131" s="15" t="n">
        <x:v>4</x:v>
      </x:c>
      <x:c r="T131" s="15" t="str">
        <x:v>F,&amp;</x:v>
      </x:c>
      <x:c r="U131" s="15" t="str">
        <x:v>future_stl</x:v>
      </x:c>
      <x:c r="V131" s="15" t="str">
        <x:v>rover region predicates</x:v>
      </x:c>
      <x:c r="W131" s="15" t="str"/>
    </x:row>
    <x:row r="132">
      <x:c r="A132" s="15" t="str">
        <x:v>NLSTL150-131</x:v>
      </x:c>
      <x:c r="B132" s="15" t="str">
        <x:v>robotics_real_world</x:v>
      </x:c>
      <x:c r="C132" s="15" t="str">
        <x:v>Formula-first robotics</x:v>
      </x:c>
      <x:c r="D132" s="15" t="str">
        <x:v>source_formula</x:v>
      </x:c>
      <x:c r="E132" s="15" t="str">
        <x:v>source_aligned</x:v>
      </x:c>
      <x:c r="F132" s="15" t="str">
        <x:v>Multi-agent STL planning, surveillance-style benchmark</x:v>
      </x:c>
      <x:c r="G132" s="15" t="str">
        <x:v>https://arxiv.org/abs/2201.05247</x:v>
      </x:c>
      <x:c r="H132" s="15" t="str">
        <x:v>multi-robot surveillance</x:v>
      </x:c>
      <x:c r="I132" s="15" t="str">
        <x:v>translate</x:v>
      </x:c>
      <x:c r="J132" s="15" t="str">
        <x:v>At every time during the first 300 seconds, some robot must visit the surveillance region within the next 30 seconds.</x:v>
      </x:c>
      <x:c r="K132" s="15" t="str">
        <x:v>G[0,300](F[0,30](OR_i(in_surveillance(robot_i))))</x:v>
      </x:c>
      <x:c r="L132" s="15" t="str"/>
      <x:c r="M132" s="15" t="str">
        <x:v>none</x:v>
      </x:c>
      <x:c r="N132" s="15" t="str"/>
      <x:c r="O132" s="15" t="str"/>
      <x:c r="P132" s="15" t="str"/>
      <x:c r="Q132" s="15" t="str"/>
      <x:c r="R132" s="15" t="str">
        <x:v>Recurring team surveillance</x:v>
      </x:c>
      <x:c r="S132" s="15" t="n">
        <x:v>5</x:v>
      </x:c>
      <x:c r="T132" s="15" t="str">
        <x:v>G,F,OR_i</x:v>
      </x:c>
      <x:c r="U132" s="15" t="str">
        <x:v>parameterized_stl</x:v>
      </x:c>
      <x:c r="V132" s="15" t="str">
        <x:v>team region-membership predicates</x:v>
      </x:c>
      <x:c r="W132" s="15" t="str"/>
    </x:row>
    <x:row r="133">
      <x:c r="A133" s="15" t="str">
        <x:v>NLSTL150-132</x:v>
      </x:c>
      <x:c r="B133" s="15" t="str">
        <x:v>robotics_real_world</x:v>
      </x:c>
      <x:c r="C133" s="15" t="str">
        <x:v>Formula-first robotics</x:v>
      </x:c>
      <x:c r="D133" s="15" t="str">
        <x:v>source_formula</x:v>
      </x:c>
      <x:c r="E133" s="15" t="str">
        <x:v>source_aligned</x:v>
      </x:c>
      <x:c r="F133" s="15" t="str">
        <x:v>STLPlanning door-puzzle style benchmark</x:v>
      </x:c>
      <x:c r="G133" s="15" t="str">
        <x:v>https://arxiv.org/abs/2201.05247</x:v>
      </x:c>
      <x:c r="H133" s="15" t="str">
        <x:v>multi-robot planning</x:v>
      </x:c>
      <x:c r="I133" s="15" t="str">
        <x:v>translate</x:v>
      </x:c>
      <x:c r="J133" s="15" t="str">
        <x:v>Keep the door open until both robots have crossed it within 40 seconds.</x:v>
      </x:c>
      <x:c r="K133" s="15" t="str">
        <x:v>(door_open = 1) U[0,40] (crossed_r1 &amp; crossed_r2)</x:v>
      </x:c>
      <x:c r="L133" s="15" t="str"/>
      <x:c r="M133" s="15" t="str">
        <x:v>none</x:v>
      </x:c>
      <x:c r="N133" s="15" t="str"/>
      <x:c r="O133" s="15" t="str"/>
      <x:c r="P133" s="15" t="str"/>
      <x:c r="Q133" s="15" t="str"/>
      <x:c r="R133" s="15" t="str">
        <x:v>Coordinated crossing with an until constraint</x:v>
      </x:c>
      <x:c r="S133" s="15" t="n">
        <x:v>4</x:v>
      </x:c>
      <x:c r="T133" s="15" t="str">
        <x:v>U,&amp;</x:v>
      </x:c>
      <x:c r="U133" s="15" t="str">
        <x:v>future_stl</x:v>
      </x:c>
      <x:c r="V133" s="15" t="str">
        <x:v>door and crossing predicates</x:v>
      </x:c>
      <x:c r="W133" s="15" t="str"/>
    </x:row>
    <x:row r="134">
      <x:c r="A134" s="15" t="str">
        <x:v>NLSTL150-133</x:v>
      </x:c>
      <x:c r="B134" s="15" t="str">
        <x:v>robotics_real_world</x:v>
      </x:c>
      <x:c r="C134" s="15" t="str">
        <x:v>Formula-first robotics</x:v>
      </x:c>
      <x:c r="D134" s="15" t="str">
        <x:v>source_formula</x:v>
      </x:c>
      <x:c r="E134" s="15" t="str">
        <x:v>source_aligned</x:v>
      </x:c>
      <x:c r="F134" s="15" t="str">
        <x:v>Event-based STL, reactive environmental event pattern</x:v>
      </x:c>
      <x:c r="G134" s="15" t="str">
        <x:v>https://arxiv.org/abs/2011.00370</x:v>
      </x:c>
      <x:c r="H134" s="15" t="str">
        <x:v>mobile robot response</x:v>
      </x:c>
      <x:c r="I134" s="15" t="str">
        <x:v>translate</x:v>
      </x:c>
      <x:c r="J134" s="15" t="str">
        <x:v>Whenever a fire alarm event occurs, the robot must reach the exit within 20 seconds.</x:v>
      </x:c>
      <x:c r="K134" s="15" t="str">
        <x:v>G(fire_alarm_event -&gt; F[0,20](at_exit = 1))</x:v>
      </x:c>
      <x:c r="L134" s="15" t="str"/>
      <x:c r="M134" s="15" t="str">
        <x:v>none</x:v>
      </x:c>
      <x:c r="N134" s="15" t="str"/>
      <x:c r="O134" s="15" t="str"/>
      <x:c r="P134" s="15" t="str"/>
      <x:c r="Q134" s="15" t="str"/>
      <x:c r="R134" s="15" t="str">
        <x:v>Reaction to an uncontrollable environment event</x:v>
      </x:c>
      <x:c r="S134" s="15" t="n">
        <x:v>3</x:v>
      </x:c>
      <x:c r="T134" s="15" t="str">
        <x:v>G,F,-&gt;</x:v>
      </x:c>
      <x:c r="U134" s="15" t="str">
        <x:v>future_stl</x:v>
      </x:c>
      <x:c r="V134" s="15" t="str">
        <x:v>environment event and region predicate</x:v>
      </x:c>
      <x:c r="W134" s="15" t="str"/>
    </x:row>
    <x:row r="135">
      <x:c r="A135" s="15" t="str">
        <x:v>NLSTL150-134</x:v>
      </x:c>
      <x:c r="B135" s="15" t="str">
        <x:v>robotics_real_world</x:v>
      </x:c>
      <x:c r="C135" s="15" t="str">
        <x:v>Formula-first robotics</x:v>
      </x:c>
      <x:c r="D135" s="15" t="str">
        <x:v>source_formula</x:v>
      </x:c>
      <x:c r="E135" s="15" t="str">
        <x:v>source_aligned</x:v>
      </x:c>
      <x:c r="F135" s="15" t="str">
        <x:v>Event-based STL, request-response task pattern</x:v>
      </x:c>
      <x:c r="G135" s="15" t="str">
        <x:v>https://arxiv.org/abs/2011.00370</x:v>
      </x:c>
      <x:c r="H135" s="15" t="str">
        <x:v>service robotics</x:v>
      </x:c>
      <x:c r="I135" s="15" t="str">
        <x:v>translate</x:v>
      </x:c>
      <x:c r="J135" s="15" t="str">
        <x:v>When a pickup request is received, a robot must arrive at the pickup area within 30 seconds.</x:v>
      </x:c>
      <x:c r="K135" s="15" t="str">
        <x:v>G(pickup_request_event -&gt; F[0,30](robot_at_pickup = 1))</x:v>
      </x:c>
      <x:c r="L135" s="15" t="str"/>
      <x:c r="M135" s="15" t="str">
        <x:v>none</x:v>
      </x:c>
      <x:c r="N135" s="15" t="str"/>
      <x:c r="O135" s="15" t="str"/>
      <x:c r="P135" s="15" t="str"/>
      <x:c r="Q135" s="15" t="str"/>
      <x:c r="R135" s="15" t="str">
        <x:v>Timed event-triggered service task</x:v>
      </x:c>
      <x:c r="S135" s="15" t="n">
        <x:v>3</x:v>
      </x:c>
      <x:c r="T135" s="15" t="str">
        <x:v>G,F,-&gt;</x:v>
      </x:c>
      <x:c r="U135" s="15" t="str">
        <x:v>future_stl</x:v>
      </x:c>
      <x:c r="V135" s="15" t="str"/>
      <x:c r="W135" s="15" t="str"/>
    </x:row>
    <x:row r="136">
      <x:c r="A136" s="15" t="str">
        <x:v>NLSTL150-135</x:v>
      </x:c>
      <x:c r="B136" s="15" t="str">
        <x:v>robotics_real_world</x:v>
      </x:c>
      <x:c r="C136" s="15" t="str">
        <x:v>Formula-first robotics</x:v>
      </x:c>
      <x:c r="D136" s="15" t="str">
        <x:v>source_formula</x:v>
      </x:c>
      <x:c r="E136" s="15" t="str">
        <x:v>source_aligned</x:v>
      </x:c>
      <x:c r="F136" s="15" t="str">
        <x:v>Event-based STL, environment-dependent safety</x:v>
      </x:c>
      <x:c r="G136" s="15" t="str">
        <x:v>https://arxiv.org/abs/2011.00370</x:v>
      </x:c>
      <x:c r="H136" s="15" t="str">
        <x:v>mobile robot response</x:v>
      </x:c>
      <x:c r="I136" s="15" t="str">
        <x:v>translate</x:v>
      </x:c>
      <x:c r="J136" s="15" t="str">
        <x:v>If the door-close event occurs while the robot is in the doorway, the robot must leave the doorway within 2 seconds.</x:v>
      </x:c>
      <x:c r="K136" s="15" t="str">
        <x:v>G((door_close_event &amp; in_doorway) -&gt; F[0,2](!(in_doorway)))</x:v>
      </x:c>
      <x:c r="L136" s="15" t="str"/>
      <x:c r="M136" s="15" t="str">
        <x:v>none</x:v>
      </x:c>
      <x:c r="N136" s="15" t="str"/>
      <x:c r="O136" s="15" t="str"/>
      <x:c r="P136" s="15" t="str"/>
      <x:c r="Q136" s="15" t="str"/>
      <x:c r="R136" s="15" t="str">
        <x:v>Conjunctive event/state trigger</x:v>
      </x:c>
      <x:c r="S136" s="15" t="n">
        <x:v>4</x:v>
      </x:c>
      <x:c r="T136" s="15" t="str">
        <x:v>G,F,&amp;,!,-&gt;</x:v>
      </x:c>
      <x:c r="U136" s="15" t="str">
        <x:v>future_stl</x:v>
      </x:c>
      <x:c r="V136" s="15" t="str"/>
      <x:c r="W136" s="15" t="str"/>
    </x:row>
    <x:row r="137">
      <x:c r="A137" s="15" t="str">
        <x:v>NLSTL150-136</x:v>
      </x:c>
      <x:c r="B137" s="15" t="str">
        <x:v>robotics_real_world</x:v>
      </x:c>
      <x:c r="C137" s="15" t="str">
        <x:v>Formula-first robotics</x:v>
      </x:c>
      <x:c r="D137" s="15" t="str">
        <x:v>source_formula</x:v>
      </x:c>
      <x:c r="E137" s="15" t="str">
        <x:v>source_aligned</x:v>
      </x:c>
      <x:c r="F137" s="15" t="str">
        <x:v>Event-based STL, multi-robot reactive allocation</x:v>
      </x:c>
      <x:c r="G137" s="15" t="str">
        <x:v>https://arxiv.org/abs/2011.00370</x:v>
      </x:c>
      <x:c r="H137" s="15" t="str">
        <x:v>multi-robot delivery</x:v>
      </x:c>
      <x:c r="I137" s="15" t="str">
        <x:v>translate</x:v>
      </x:c>
      <x:c r="J137" s="15" t="str">
        <x:v>Whenever a delivery request event occurs, at least one robot must reach the delivery zone within 45 seconds.</x:v>
      </x:c>
      <x:c r="K137" s="15" t="str">
        <x:v>G(delivery_event -&gt; F[0,45](OR_i(in_delivery_zone(robot_i))))</x:v>
      </x:c>
      <x:c r="L137" s="15" t="str"/>
      <x:c r="M137" s="15" t="str">
        <x:v>none</x:v>
      </x:c>
      <x:c r="N137" s="15" t="str"/>
      <x:c r="O137" s="15" t="str"/>
      <x:c r="P137" s="15" t="str"/>
      <x:c r="Q137" s="15" t="str"/>
      <x:c r="R137" s="15" t="str">
        <x:v>Reactive task allocation across multiple robots</x:v>
      </x:c>
      <x:c r="S137" s="15" t="n">
        <x:v>5</x:v>
      </x:c>
      <x:c r="T137" s="15" t="str">
        <x:v>G,F,OR_i,-&gt;</x:v>
      </x:c>
      <x:c r="U137" s="15" t="str">
        <x:v>parameterized_stl</x:v>
      </x:c>
      <x:c r="V137" s="15" t="str"/>
      <x:c r="W137" s="15" t="str"/>
    </x:row>
    <x:row r="138">
      <x:c r="A138" s="15" t="str">
        <x:v>NLSTL150-137</x:v>
      </x:c>
      <x:c r="B138" s="15" t="str">
        <x:v>robotics_real_world</x:v>
      </x:c>
      <x:c r="C138" s="15" t="str">
        <x:v>Formula-first robotics</x:v>
      </x:c>
      <x:c r="D138" s="15" t="str">
        <x:v>source_formula</x:v>
      </x:c>
      <x:c r="E138" s="15" t="str">
        <x:v>source_aligned</x:v>
      </x:c>
      <x:c r="F138" s="15" t="str">
        <x:v>Event-based STL, event-terminated persistence</x:v>
      </x:c>
      <x:c r="G138" s="15" t="str">
        <x:v>https://arxiv.org/abs/2011.00370</x:v>
      </x:c>
      <x:c r="H138" s="15" t="str">
        <x:v>mobile robot guarding</x:v>
      </x:c>
      <x:c r="I138" s="15" t="str">
        <x:v>translate</x:v>
      </x:c>
      <x:c r="J138" s="15" t="str">
        <x:v>After a guard event begins, the robot must remain in the guard region until a release event occurs within 120 seconds.</x:v>
      </x:c>
      <x:c r="K138" s="15" t="str">
        <x:v>G(guard_event -&gt; ((in_guard_region = 1) U[0,120] release_event))</x:v>
      </x:c>
      <x:c r="L138" s="15" t="str"/>
      <x:c r="M138" s="15" t="str">
        <x:v>none</x:v>
      </x:c>
      <x:c r="N138" s="15" t="str"/>
      <x:c r="O138" s="15" t="str"/>
      <x:c r="P138" s="15" t="str"/>
      <x:c r="Q138" s="15" t="str"/>
      <x:c r="R138" s="15" t="str">
        <x:v>Event-triggered bounded until</x:v>
      </x:c>
      <x:c r="S138" s="15" t="n">
        <x:v>4</x:v>
      </x:c>
      <x:c r="T138" s="15" t="str">
        <x:v>G,U,-&gt;</x:v>
      </x:c>
      <x:c r="U138" s="15" t="str">
        <x:v>future_stl</x:v>
      </x:c>
      <x:c r="V138" s="15" t="str"/>
      <x:c r="W138" s="15" t="str"/>
    </x:row>
    <x:row r="139">
      <x:c r="A139" s="15" t="str">
        <x:v>NLSTL150-138</x:v>
      </x:c>
      <x:c r="B139" s="15" t="str">
        <x:v>robotics_real_world</x:v>
      </x:c>
      <x:c r="C139" s="15" t="str">
        <x:v>Formula-first robotics</x:v>
      </x:c>
      <x:c r="D139" s="15" t="str">
        <x:v>source_formula</x:v>
      </x:c>
      <x:c r="E139" s="15" t="str">
        <x:v>source_aligned</x:v>
      </x:c>
      <x:c r="F139" s="15" t="str">
        <x:v>Event-based STL, coordinated reaction task</x:v>
      </x:c>
      <x:c r="G139" s="15" t="str">
        <x:v>https://arxiv.org/abs/2011.00370</x:v>
      </x:c>
      <x:c r="H139" s="15" t="str">
        <x:v>multi-robot response</x:v>
      </x:c>
      <x:c r="I139" s="15" t="str">
        <x:v>translate</x:v>
      </x:c>
      <x:c r="J139" s="15" t="str">
        <x:v>When the inspection event occurs, robot 1 must reach region A within 20 seconds and robot 2 must reach region B within 25 seconds.</x:v>
      </x:c>
      <x:c r="K139" s="15" t="str">
        <x:v>G(inspection_event -&gt; (F[0,20](in_A_r1) &amp; F[0,25](in_B_r2)))</x:v>
      </x:c>
      <x:c r="L139" s="15" t="str"/>
      <x:c r="M139" s="15" t="str">
        <x:v>none</x:v>
      </x:c>
      <x:c r="N139" s="15" t="str"/>
      <x:c r="O139" s="15" t="str"/>
      <x:c r="P139" s="15" t="str"/>
      <x:c r="Q139" s="15" t="str"/>
      <x:c r="R139" s="15" t="str">
        <x:v>Parallel event-triggered obligations</x:v>
      </x:c>
      <x:c r="S139" s="15" t="n">
        <x:v>4</x:v>
      </x:c>
      <x:c r="T139" s="15" t="str">
        <x:v>G,F,&amp;,-&gt;</x:v>
      </x:c>
      <x:c r="U139" s="15" t="str">
        <x:v>future_stl</x:v>
      </x:c>
      <x:c r="V139" s="15" t="str"/>
      <x:c r="W139" s="15" t="str"/>
    </x:row>
    <x:row r="140">
      <x:c r="A140" s="15" t="str">
        <x:v>NLSTL150-139</x:v>
      </x:c>
      <x:c r="B140" s="15" t="str">
        <x:v>robotics_real_world</x:v>
      </x:c>
      <x:c r="C140" s="15" t="str">
        <x:v>Formula-first robotics</x:v>
      </x:c>
      <x:c r="D140" s="15" t="str">
        <x:v>source_formula</x:v>
      </x:c>
      <x:c r="E140" s="15" t="str">
        <x:v>source_aligned</x:v>
      </x:c>
      <x:c r="F140" s="15" t="str">
        <x:v>AV STL-MPC, collision-avoidance constraint</x:v>
      </x:c>
      <x:c r="G140" s="15" t="str">
        <x:v>https://arxiv.org/abs/2409.10689</x:v>
      </x:c>
      <x:c r="H140" s="15" t="str">
        <x:v>autonomous driving</x:v>
      </x:c>
      <x:c r="I140" s="15" t="str">
        <x:v>translate</x:v>
      </x:c>
      <x:c r="J140" s="15" t="str">
        <x:v>The ego vehicle must remain at least d_safe from the obstacle throughout the prediction horizon.</x:v>
      </x:c>
      <x:c r="K140" s="15" t="str">
        <x:v>G[0,H](obstacle_distance &gt;= d_safe)</x:v>
      </x:c>
      <x:c r="L140" s="15" t="str"/>
      <x:c r="M140" s="15" t="str">
        <x:v>none</x:v>
      </x:c>
      <x:c r="N140" s="15" t="str"/>
      <x:c r="O140" s="15" t="str"/>
      <x:c r="P140" s="15" t="str"/>
      <x:c r="Q140" s="15" t="str"/>
      <x:c r="R140" s="15" t="str">
        <x:v>Hard collision-avoidance constraint in MPC</x:v>
      </x:c>
      <x:c r="S140" s="15" t="n">
        <x:v>3</x:v>
      </x:c>
      <x:c r="T140" s="15" t="str">
        <x:v>G</x:v>
      </x:c>
      <x:c r="U140" s="15" t="str">
        <x:v>future_stl</x:v>
      </x:c>
      <x:c r="V140" s="15" t="str">
        <x:v>obstacle_distance,d_safe,H</x:v>
      </x:c>
      <x:c r="W140" s="15" t="str"/>
    </x:row>
    <x:row r="141">
      <x:c r="A141" s="15" t="str">
        <x:v>NLSTL150-140</x:v>
      </x:c>
      <x:c r="B141" s="15" t="str">
        <x:v>robotics_real_world</x:v>
      </x:c>
      <x:c r="C141" s="15" t="str">
        <x:v>Formula-first robotics</x:v>
      </x:c>
      <x:c r="D141" s="15" t="str">
        <x:v>source_formula</x:v>
      </x:c>
      <x:c r="E141" s="15" t="str">
        <x:v>source_aligned</x:v>
      </x:c>
      <x:c r="F141" s="15" t="str">
        <x:v>AV STL-MPC, lane-boundary constraint</x:v>
      </x:c>
      <x:c r="G141" s="15" t="str">
        <x:v>https://arxiv.org/abs/2409.10689</x:v>
      </x:c>
      <x:c r="H141" s="15" t="str">
        <x:v>autonomous driving</x:v>
      </x:c>
      <x:c r="I141" s="15" t="str">
        <x:v>translate</x:v>
      </x:c>
      <x:c r="J141" s="15" t="str">
        <x:v>For the next H seconds, lateral position must remain between the left and right lane boundaries.</x:v>
      </x:c>
      <x:c r="K141" s="15" t="str">
        <x:v>G[0,H]((y &gt;= lane_left_bound) &amp; (y &lt;= lane_right_bound))</x:v>
      </x:c>
      <x:c r="L141" s="15" t="str"/>
      <x:c r="M141" s="15" t="str">
        <x:v>none</x:v>
      </x:c>
      <x:c r="N141" s="15" t="str"/>
      <x:c r="O141" s="15" t="str"/>
      <x:c r="P141" s="15" t="str"/>
      <x:c r="Q141" s="15" t="str"/>
      <x:c r="R141" s="15" t="str">
        <x:v>Continuous lane-keeping predicate</x:v>
      </x:c>
      <x:c r="S141" s="15" t="n">
        <x:v>3</x:v>
      </x:c>
      <x:c r="T141" s="15" t="str">
        <x:v>G,&amp;</x:v>
      </x:c>
      <x:c r="U141" s="15" t="str">
        <x:v>future_stl</x:v>
      </x:c>
      <x:c r="V141" s="15" t="str"/>
      <x:c r="W141" s="15" t="str"/>
    </x:row>
    <x:row r="142">
      <x:c r="A142" s="15" t="str">
        <x:v>NLSTL150-141</x:v>
      </x:c>
      <x:c r="B142" s="15" t="str">
        <x:v>robotics_real_world</x:v>
      </x:c>
      <x:c r="C142" s="15" t="str">
        <x:v>Formula-first robotics</x:v>
      </x:c>
      <x:c r="D142" s="15" t="str">
        <x:v>source_formula</x:v>
      </x:c>
      <x:c r="E142" s="15" t="str">
        <x:v>source_aligned</x:v>
      </x:c>
      <x:c r="F142" s="15" t="str">
        <x:v>AV STL-MPC, goal-reaching constraint</x:v>
      </x:c>
      <x:c r="G142" s="15" t="str">
        <x:v>https://arxiv.org/abs/2409.10689</x:v>
      </x:c>
      <x:c r="H142" s="15" t="str">
        <x:v>autonomous driving</x:v>
      </x:c>
      <x:c r="I142" s="15" t="str">
        <x:v>translate</x:v>
      </x:c>
      <x:c r="J142" s="15" t="str">
        <x:v>The vehicle must reach the goal region within the next H seconds.</x:v>
      </x:c>
      <x:c r="K142" s="15" t="str">
        <x:v>F[0,H](in_goal_region = 1)</x:v>
      </x:c>
      <x:c r="L142" s="15" t="str"/>
      <x:c r="M142" s="15" t="str">
        <x:v>none</x:v>
      </x:c>
      <x:c r="N142" s="15" t="str"/>
      <x:c r="O142" s="15" t="str"/>
      <x:c r="P142" s="15" t="str"/>
      <x:c r="Q142" s="15" t="str"/>
      <x:c r="R142" s="15" t="str">
        <x:v>Reachability constraint for trajectory planning</x:v>
      </x:c>
      <x:c r="S142" s="15" t="n">
        <x:v>2</x:v>
      </x:c>
      <x:c r="T142" s="15" t="str">
        <x:v>F</x:v>
      </x:c>
      <x:c r="U142" s="15" t="str">
        <x:v>future_stl</x:v>
      </x:c>
      <x:c r="V142" s="15" t="str"/>
      <x:c r="W142" s="15" t="str"/>
    </x:row>
    <x:row r="143">
      <x:c r="A143" s="15" t="str">
        <x:v>NLSTL150-142</x:v>
      </x:c>
      <x:c r="B143" s="15" t="str">
        <x:v>robotics_real_world</x:v>
      </x:c>
      <x:c r="C143" s="15" t="str">
        <x:v>Formula-first robotics</x:v>
      </x:c>
      <x:c r="D143" s="15" t="str">
        <x:v>source_formula</x:v>
      </x:c>
      <x:c r="E143" s="15" t="str">
        <x:v>source_aligned</x:v>
      </x:c>
      <x:c r="F143" s="15" t="str">
        <x:v>AV STL-MPC, speed constraint</x:v>
      </x:c>
      <x:c r="G143" s="15" t="str">
        <x:v>https://arxiv.org/abs/2409.10689</x:v>
      </x:c>
      <x:c r="H143" s="15" t="str">
        <x:v>autonomous driving</x:v>
      </x:c>
      <x:c r="I143" s="15" t="str">
        <x:v>translate</x:v>
      </x:c>
      <x:c r="J143" s="15" t="str">
        <x:v>The vehicle's speed must remain between zero and the road speed limit during the prediction horizon.</x:v>
      </x:c>
      <x:c r="K143" s="15" t="str">
        <x:v>G[0,H]((speed &gt;= 0) &amp; (speed &lt;= speed_limit))</x:v>
      </x:c>
      <x:c r="L143" s="15" t="str"/>
      <x:c r="M143" s="15" t="str">
        <x:v>none</x:v>
      </x:c>
      <x:c r="N143" s="15" t="str"/>
      <x:c r="O143" s="15" t="str"/>
      <x:c r="P143" s="15" t="str"/>
      <x:c r="Q143" s="15" t="str"/>
      <x:c r="R143" s="15" t="str">
        <x:v>Continuous state bounds</x:v>
      </x:c>
      <x:c r="S143" s="15" t="n">
        <x:v>3</x:v>
      </x:c>
      <x:c r="T143" s="15" t="str">
        <x:v>G,&amp;</x:v>
      </x:c>
      <x:c r="U143" s="15" t="str">
        <x:v>future_stl</x:v>
      </x:c>
      <x:c r="V143" s="15" t="str"/>
      <x:c r="W143" s="15" t="str"/>
    </x:row>
    <x:row r="144">
      <x:c r="A144" s="15" t="str">
        <x:v>NLSTL150-143</x:v>
      </x:c>
      <x:c r="B144" s="15" t="str">
        <x:v>robotics_real_world</x:v>
      </x:c>
      <x:c r="C144" s="15" t="str">
        <x:v>Formula-first robotics</x:v>
      </x:c>
      <x:c r="D144" s="15" t="str">
        <x:v>source_formula</x:v>
      </x:c>
      <x:c r="E144" s="15" t="str">
        <x:v>source_aligned</x:v>
      </x:c>
      <x:c r="F144" s="15" t="str">
        <x:v>AV STL-MPC, obstacle-triggered response</x:v>
      </x:c>
      <x:c r="G144" s="15" t="str">
        <x:v>https://arxiv.org/abs/2409.10689</x:v>
      </x:c>
      <x:c r="H144" s="15" t="str">
        <x:v>autonomous driving</x:v>
      </x:c>
      <x:c r="I144" s="15" t="str">
        <x:v>translate</x:v>
      </x:c>
      <x:c r="J144" s="15" t="str">
        <x:v>Whenever obstacle distance falls below 10 metres, speed must drop below 5 m/s within 2 seconds.</x:v>
      </x:c>
      <x:c r="K144" s="15" t="str">
        <x:v>G((obstacle_distance &lt; 10) -&gt; F[0,2](speed &lt; 5))</x:v>
      </x:c>
      <x:c r="L144" s="15" t="str"/>
      <x:c r="M144" s="15" t="str">
        <x:v>none</x:v>
      </x:c>
      <x:c r="N144" s="15" t="str"/>
      <x:c r="O144" s="15" t="str"/>
      <x:c r="P144" s="15" t="str"/>
      <x:c r="Q144" s="15" t="str"/>
      <x:c r="R144" s="15" t="str">
        <x:v>Reactive safety constraint in navigation</x:v>
      </x:c>
      <x:c r="S144" s="15" t="n">
        <x:v>3</x:v>
      </x:c>
      <x:c r="T144" s="15" t="str">
        <x:v>G,F,-&gt;</x:v>
      </x:c>
      <x:c r="U144" s="15" t="str">
        <x:v>future_stl</x:v>
      </x:c>
      <x:c r="V144" s="15" t="str"/>
      <x:c r="W144" s="15" t="str"/>
    </x:row>
    <x:row r="145">
      <x:c r="A145" s="15" t="str">
        <x:v>NLSTL150-144</x:v>
      </x:c>
      <x:c r="B145" s="15" t="str">
        <x:v>robotics_real_world</x:v>
      </x:c>
      <x:c r="C145" s="15" t="str">
        <x:v>Formula-first robotics</x:v>
      </x:c>
      <x:c r="D145" s="15" t="str">
        <x:v>source_formula</x:v>
      </x:c>
      <x:c r="E145" s="15" t="str">
        <x:v>source_aligned</x:v>
      </x:c>
      <x:c r="F145" s="15" t="str">
        <x:v>AV STL-MPC, combined scenario specification</x:v>
      </x:c>
      <x:c r="G145" s="15" t="str">
        <x:v>https://arxiv.org/abs/2409.10689</x:v>
      </x:c>
      <x:c r="H145" s="15" t="str">
        <x:v>autonomous driving</x:v>
      </x:c>
      <x:c r="I145" s="15" t="str">
        <x:v>translate</x:v>
      </x:c>
      <x:c r="J145" s="15" t="str">
        <x:v>Reach the destination within 30 seconds while staying in the lane and maintaining at least 2 metres from obstacles.</x:v>
      </x:c>
      <x:c r="K145" s="15" t="str">
        <x:v>F[0,30](destination = 1) &amp; G[0,30](in_lane = 1) &amp; G[0,30](obstacle_distance &gt;= 2)</x:v>
      </x:c>
      <x:c r="L145" s="15" t="str"/>
      <x:c r="M145" s="15" t="str">
        <x:v>none</x:v>
      </x:c>
      <x:c r="N145" s="15" t="str"/>
      <x:c r="O145" s="15" t="str"/>
      <x:c r="P145" s="15" t="str"/>
      <x:c r="Q145" s="15" t="str"/>
      <x:c r="R145" s="15" t="str">
        <x:v>Combined reachability and safety constraints</x:v>
      </x:c>
      <x:c r="S145" s="15" t="n">
        <x:v>4</x:v>
      </x:c>
      <x:c r="T145" s="15" t="str">
        <x:v>F,G,&amp;</x:v>
      </x:c>
      <x:c r="U145" s="15" t="str">
        <x:v>future_stl</x:v>
      </x:c>
      <x:c r="V145" s="15" t="str"/>
      <x:c r="W145" s="15" t="str"/>
    </x:row>
    <x:row r="146">
      <x:c r="A146" s="15" t="str">
        <x:v>NLSTL150-145</x:v>
      </x:c>
      <x:c r="B146" s="15" t="str">
        <x:v>robotics_real_world</x:v>
      </x:c>
      <x:c r="C146" s="15" t="str">
        <x:v>Formula-first robotics</x:v>
      </x:c>
      <x:c r="D146" s="15" t="str">
        <x:v>source_formula</x:v>
      </x:c>
      <x:c r="E146" s="15" t="str">
        <x:v>paper_explicit_paraphrase</x:v>
      </x:c>
      <x:c r="F146" s="15" t="str">
        <x:v>Manipulation paper, STL illustration Eq. 2</x:v>
      </x:c>
      <x:c r="G146" s="15" t="str">
        <x:v>https://arxiv.org/abs/2209.03001</x:v>
      </x:c>
      <x:c r="H146" s="15" t="str">
        <x:v>robot manipulation</x:v>
      </x:c>
      <x:c r="I146" s="15" t="str">
        <x:v>translate</x:v>
      </x:c>
      <x:c r="J146" s="15" t="str">
        <x:v>Pass through region A between 2 and 4 seconds and avoid region B from 2 through 8 seconds.</x:v>
      </x:c>
      <x:c r="K146" s="15" t="str">
        <x:v>F[2,4](in_A) &amp; G[2,8](!(in_B))</x:v>
      </x:c>
      <x:c r="L146" s="15" t="str"/>
      <x:c r="M146" s="15" t="str">
        <x:v>none</x:v>
      </x:c>
      <x:c r="N146" s="15" t="str"/>
      <x:c r="O146" s="15" t="str"/>
      <x:c r="P146" s="15" t="str"/>
      <x:c r="Q146" s="15" t="str"/>
      <x:c r="R146" s="15" t="str">
        <x:v>Timed visit and avoidance constraints</x:v>
      </x:c>
      <x:c r="S146" s="15" t="n">
        <x:v>3</x:v>
      </x:c>
      <x:c r="T146" s="15" t="str">
        <x:v>F,G,!,&amp;</x:v>
      </x:c>
      <x:c r="U146" s="15" t="str">
        <x:v>future_stl</x:v>
      </x:c>
      <x:c r="V146" s="15" t="str"/>
      <x:c r="W146" s="15" t="str"/>
    </x:row>
    <x:row r="147">
      <x:c r="A147" s="15" t="str">
        <x:v>NLSTL150-146</x:v>
      </x:c>
      <x:c r="B147" s="15" t="str">
        <x:v>robotics_real_world</x:v>
      </x:c>
      <x:c r="C147" s="15" t="str">
        <x:v>Formula-first robotics</x:v>
      </x:c>
      <x:c r="D147" s="15" t="str">
        <x:v>source_formula</x:v>
      </x:c>
      <x:c r="E147" s="15" t="str">
        <x:v>paper_explicit_paraphrase</x:v>
      </x:c>
      <x:c r="F147" s="15" t="str">
        <x:v>Manipulation paper, task requirement Eq. 7</x:v>
      </x:c>
      <x:c r="G147" s="15" t="str">
        <x:v>https://arxiv.org/abs/2209.03001</x:v>
      </x:c>
      <x:c r="H147" s="15" t="str">
        <x:v>robot manipulation</x:v>
      </x:c>
      <x:c r="I147" s="15" t="str">
        <x:v>translate</x:v>
      </x:c>
      <x:c r="J147" s="15" t="str">
        <x:v>Visit regions L1 and L3, pass through L4 between 8 and 12 seconds, and remain in L2 from 12 to 17 seconds.</x:v>
      </x:c>
      <x:c r="K147" s="15" t="str">
        <x:v>F(in_L1) &amp; G[12,17](in_L2) &amp; F(in_L3) &amp; F[8,12](in_L4)</x:v>
      </x:c>
      <x:c r="L147" s="15" t="str"/>
      <x:c r="M147" s="15" t="str">
        <x:v>none</x:v>
      </x:c>
      <x:c r="N147" s="15" t="str"/>
      <x:c r="O147" s="15" t="str"/>
      <x:c r="P147" s="15" t="str"/>
      <x:c r="Q147" s="15" t="str"/>
      <x:c r="R147" s="15" t="str">
        <x:v>Multi-region spatial and temporal task composition</x:v>
      </x:c>
      <x:c r="S147" s="15" t="n">
        <x:v>5</x:v>
      </x:c>
      <x:c r="T147" s="15" t="str">
        <x:v>F,G,&amp;</x:v>
      </x:c>
      <x:c r="U147" s="15" t="str">
        <x:v>future_stl</x:v>
      </x:c>
      <x:c r="V147" s="15" t="str"/>
      <x:c r="W147" s="15" t="str"/>
    </x:row>
    <x:row r="148">
      <x:c r="A148" s="15" t="str">
        <x:v>NLSTL150-147</x:v>
      </x:c>
      <x:c r="B148" s="15" t="str">
        <x:v>robotics_real_world</x:v>
      </x:c>
      <x:c r="C148" s="15" t="str">
        <x:v>Formula-first robotics</x:v>
      </x:c>
      <x:c r="D148" s="15" t="str">
        <x:v>source_formula</x:v>
      </x:c>
      <x:c r="E148" s="15" t="str">
        <x:v>paper_explicit_paraphrase</x:v>
      </x:c>
      <x:c r="F148" s="15" t="str">
        <x:v>Manipulation paper, task requirement Eq. 8</x:v>
      </x:c>
      <x:c r="G148" s="15" t="str">
        <x:v>https://arxiv.org/abs/2209.03001</x:v>
      </x:c>
      <x:c r="H148" s="15" t="str">
        <x:v>robot manipulation</x:v>
      </x:c>
      <x:c r="I148" s="15" t="str">
        <x:v>translate</x:v>
      </x:c>
      <x:c r="J148" s="15" t="str">
        <x:v>Visit regions L1 and L3, avoid L2 from 12 to 17 seconds, and visit L4 between 8 and 12 seconds.</x:v>
      </x:c>
      <x:c r="K148" s="15" t="str">
        <x:v>F(in_L1) &amp; G[12,17](!(in_L2)) &amp; F(in_L3) &amp; F[8,12](in_L4)</x:v>
      </x:c>
      <x:c r="L148" s="15" t="str"/>
      <x:c r="M148" s="15" t="str">
        <x:v>none</x:v>
      </x:c>
      <x:c r="N148" s="15" t="str"/>
      <x:c r="O148" s="15" t="str"/>
      <x:c r="P148" s="15" t="str"/>
      <x:c r="Q148" s="15" t="str"/>
      <x:c r="R148" s="15" t="str">
        <x:v>Region avoidance combined with visits</x:v>
      </x:c>
      <x:c r="S148" s="15" t="n">
        <x:v>5</x:v>
      </x:c>
      <x:c r="T148" s="15" t="str">
        <x:v>F,G,!,&amp;</x:v>
      </x:c>
      <x:c r="U148" s="15" t="str">
        <x:v>future_stl</x:v>
      </x:c>
      <x:c r="V148" s="15" t="str"/>
      <x:c r="W148" s="15" t="str"/>
    </x:row>
    <x:row r="149">
      <x:c r="A149" s="15" t="str">
        <x:v>NLSTL150-148</x:v>
      </x:c>
      <x:c r="B149" s="15" t="str">
        <x:v>robotics_real_world</x:v>
      </x:c>
      <x:c r="C149" s="15" t="str">
        <x:v>Formula-first robotics</x:v>
      </x:c>
      <x:c r="D149" s="15" t="str">
        <x:v>source_formula</x:v>
      </x:c>
      <x:c r="E149" s="15" t="str">
        <x:v>source_aligned</x:v>
      </x:c>
      <x:c r="F149" s="15" t="str">
        <x:v>Manipulation paper, timing-to-grasp motivation</x:v>
      </x:c>
      <x:c r="G149" s="15" t="str">
        <x:v>https://arxiv.org/abs/2209.03001</x:v>
      </x:c>
      <x:c r="H149" s="15" t="str">
        <x:v>robot manipulation</x:v>
      </x:c>
      <x:c r="I149" s="15" t="str">
        <x:v>translate</x:v>
      </x:c>
      <x:c r="J149" s="15" t="str">
        <x:v>The gripper must grasp the object between 4 and 6 seconds.</x:v>
      </x:c>
      <x:c r="K149" s="15" t="str">
        <x:v>F[4,6](object_grasped = 1)</x:v>
      </x:c>
      <x:c r="L149" s="15" t="str"/>
      <x:c r="M149" s="15" t="str">
        <x:v>none</x:v>
      </x:c>
      <x:c r="N149" s="15" t="str"/>
      <x:c r="O149" s="15" t="str"/>
      <x:c r="P149" s="15" t="str"/>
      <x:c r="Q149" s="15" t="str"/>
      <x:c r="R149" s="15" t="str">
        <x:v>Explicit timing added to a demonstrated skill</x:v>
      </x:c>
      <x:c r="S149" s="15" t="n">
        <x:v>2</x:v>
      </x:c>
      <x:c r="T149" s="15" t="str">
        <x:v>F</x:v>
      </x:c>
      <x:c r="U149" s="15" t="str">
        <x:v>future_stl</x:v>
      </x:c>
      <x:c r="V149" s="15" t="str"/>
      <x:c r="W149" s="15" t="str"/>
    </x:row>
    <x:row r="150">
      <x:c r="A150" s="15" t="str">
        <x:v>NLSTL150-149</x:v>
      </x:c>
      <x:c r="B150" s="15" t="str">
        <x:v>robotics_real_world</x:v>
      </x:c>
      <x:c r="C150" s="15" t="str">
        <x:v>Formula-first robotics</x:v>
      </x:c>
      <x:c r="D150" s="15" t="str">
        <x:v>source_formula</x:v>
      </x:c>
      <x:c r="E150" s="15" t="str">
        <x:v>source_aligned</x:v>
      </x:c>
      <x:c r="F150" s="15" t="str">
        <x:v>Manipulation paper, force/trajectory signal examples</x:v>
      </x:c>
      <x:c r="G150" s="15" t="str">
        <x:v>https://arxiv.org/abs/2209.03001</x:v>
      </x:c>
      <x:c r="H150" s="15" t="str">
        <x:v>robot manipulation</x:v>
      </x:c>
      <x:c r="I150" s="15" t="str">
        <x:v>translate</x:v>
      </x:c>
      <x:c r="J150" s="15" t="str">
        <x:v>During insertion, contact force must remain below 20 newtons.</x:v>
      </x:c>
      <x:c r="K150" s="15" t="str">
        <x:v>G(insertion_phase -&gt; (contact_force &lt; 20))</x:v>
      </x:c>
      <x:c r="L150" s="15" t="str"/>
      <x:c r="M150" s="15" t="str">
        <x:v>none</x:v>
      </x:c>
      <x:c r="N150" s="15" t="str"/>
      <x:c r="O150" s="15" t="str"/>
      <x:c r="P150" s="15" t="str"/>
      <x:c r="Q150" s="15" t="str"/>
      <x:c r="R150" s="15" t="str">
        <x:v>Continuous force constraint over a manipulation phase</x:v>
      </x:c>
      <x:c r="S150" s="15" t="n">
        <x:v>3</x:v>
      </x:c>
      <x:c r="T150" s="15" t="str">
        <x:v>G,-&gt;</x:v>
      </x:c>
      <x:c r="U150" s="15" t="str">
        <x:v>future_stl</x:v>
      </x:c>
      <x:c r="V150" s="15" t="str"/>
      <x:c r="W150" s="15" t="str"/>
    </x:row>
    <x:row r="151">
      <x:c r="A151" s="15" t="str">
        <x:v>NLSTL150-150</x:v>
      </x:c>
      <x:c r="B151" s="15" t="str">
        <x:v>robotics_real_world</x:v>
      </x:c>
      <x:c r="C151" s="15" t="str">
        <x:v>Formula-first robotics</x:v>
      </x:c>
      <x:c r="D151" s="15" t="str">
        <x:v>source_formula</x:v>
      </x:c>
      <x:c r="E151" s="15" t="str">
        <x:v>source_aligned</x:v>
      </x:c>
      <x:c r="F151" s="15" t="str">
        <x:v>Manipulation paper, spatial task adaptation pattern</x:v>
      </x:c>
      <x:c r="G151" s="15" t="str">
        <x:v>https://arxiv.org/abs/2209.03001</x:v>
      </x:c>
      <x:c r="H151" s="15" t="str">
        <x:v>robot manipulation</x:v>
      </x:c>
      <x:c r="I151" s="15" t="str">
        <x:v>translate</x:v>
      </x:c>
      <x:c r="J151" s="15" t="str">
        <x:v>Place the object in the target region within 15 seconds while the end effector always avoids the forbidden region.</x:v>
      </x:c>
      <x:c r="K151" s="15" t="str">
        <x:v>F[0,15](object_in_target = 1) &amp; G(!(end_effector_in_forbidden = 1))</x:v>
      </x:c>
      <x:c r="L151" s="15" t="str"/>
      <x:c r="M151" s="15" t="str">
        <x:v>none</x:v>
      </x:c>
      <x:c r="N151" s="15" t="str"/>
      <x:c r="O151" s="15" t="str"/>
      <x:c r="P151" s="15" t="str"/>
      <x:c r="Q151" s="15" t="str"/>
      <x:c r="R151" s="15" t="str">
        <x:v>Placement deadline and obstacle-region avoidance</x:v>
      </x:c>
      <x:c r="S151" s="15" t="n">
        <x:v>4</x:v>
      </x:c>
      <x:c r="T151" s="15" t="str">
        <x:v>F,G,!,&amp;</x:v>
      </x:c>
      <x:c r="U151" s="15" t="str">
        <x:v>future_stl</x:v>
      </x:c>
      <x:c r="V151" s="15" t="str"/>
      <x:c r="W151" s="15" t="str"/>
    </x:row>
  </x:sheetData>
  <x:conditionalFormatting sqref="S2:S15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24f8a2848cf4f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4" t="str">
        <x:v>Field</x:v>
      </x:c>
      <x:c r="B1" s="4" t="str">
        <x:v>Meaning</x:v>
      </x:c>
    </x:row>
    <x:row r="2">
      <x:c r="A2" s="12" t="str">
        <x:v>id</x:v>
      </x:c>
      <x:c r="B2" s="12" t="str">
        <x:v>Stable row identifier.</x:v>
      </x:c>
    </x:row>
    <x:row r="3">
      <x:c r="A3" s="12" t="str">
        <x:v>group</x:v>
      </x:c>
      <x:c r="B3" s="12" t="str">
        <x:v>paper_supported, paper_challenge, or robotics_real_world.</x:v>
      </x:c>
    </x:row>
    <x:row r="4">
      <x:c r="A4" s="12" t="str">
        <x:v>target_paper</x:v>
      </x:c>
      <x:c r="B4" s="12" t="str">
        <x:v>Approach whose strength/limitation is targeted, or Formula-first robotics.</x:v>
      </x:c>
    </x:row>
    <x:row r="5">
      <x:c r="A5" s="12" t="str">
        <x:v>case_type</x:v>
      </x:c>
      <x:c r="B5" s="12" t="str">
        <x:v>expected_strength, limitation_probe, or source_formula.</x:v>
      </x:c>
    </x:row>
    <x:row r="6">
      <x:c r="A6" s="12" t="str">
        <x:v>source_status</x:v>
      </x:c>
      <x:c r="B6" s="12" t="str">
        <x:v>Explicit, paraphrased, aligned, or newly constructed provenance.</x:v>
      </x:c>
    </x:row>
    <x:row r="7">
      <x:c r="A7" s="12" t="str">
        <x:v>source_locator</x:v>
      </x:c>
      <x:c r="B7" s="12" t="str">
        <x:v>Page, example, formula, or source-pattern locator.</x:v>
      </x:c>
    </x:row>
    <x:row r="8">
      <x:c r="A8" s="12" t="str">
        <x:v>source_url</x:v>
      </x:c>
      <x:c r="B8" s="12" t="str">
        <x:v>Primary-source URL when publicly available.</x:v>
      </x:c>
    </x:row>
    <x:row r="9">
      <x:c r="A9" s="12" t="str">
        <x:v>domain</x:v>
      </x:c>
      <x:c r="B9" s="12" t="str">
        <x:v>Application domain.</x:v>
      </x:c>
    </x:row>
    <x:row r="10">
      <x:c r="A10" s="12" t="str">
        <x:v>task_mode</x:v>
      </x:c>
      <x:c r="B10" s="12" t="str">
        <x:v>translate, clarify_then_translate, or abstain_or_request_context.</x:v>
      </x:c>
    </x:row>
    <x:row r="11">
      <x:c r="A11" s="12" t="str">
        <x:v>requirement_nl</x:v>
      </x:c>
      <x:c r="B11" s="12" t="str">
        <x:v>Natural-language input to the tested system.</x:v>
      </x:c>
    </x:row>
    <x:row r="12">
      <x:c r="A12" s="12" t="str">
        <x:v>gold_stl</x:v>
      </x:c>
      <x:c r="B12" s="12" t="str">
        <x:v>Gold formula for direct translation cases.</x:v>
      </x:c>
    </x:row>
    <x:row r="13">
      <x:c r="A13" s="12" t="str">
        <x:v>alternative_gold_stl</x:v>
      </x:c>
      <x:c r="B13" s="12" t="str">
        <x:v>Plausible competing readings or accepted alternatives.</x:v>
      </x:c>
    </x:row>
    <x:row r="14">
      <x:c r="A14" s="12" t="str">
        <x:v>defect_type</x:v>
      </x:c>
      <x:c r="B14" s="12" t="str">
        <x:v>Vagueness, ambiguity, inconsistency, missing context, or none.</x:v>
      </x:c>
    </x:row>
    <x:row r="15">
      <x:c r="A15" s="12" t="str">
        <x:v>clarification_question</x:v>
      </x:c>
      <x:c r="B15" s="12" t="str">
        <x:v>Reference question for interactive cases.</x:v>
      </x:c>
    </x:row>
    <x:row r="16">
      <x:c r="A16" s="12" t="str">
        <x:v>oracle_answer</x:v>
      </x:c>
      <x:c r="B16" s="12" t="str">
        <x:v>Controlled answer supplied identically to interactive systems.</x:v>
      </x:c>
    </x:row>
    <x:row r="17">
      <x:c r="A17" s="12" t="str">
        <x:v>clarified_requirement</x:v>
      </x:c>
      <x:c r="B17" s="12" t="str">
        <x:v>Requirement after applying the oracle answer.</x:v>
      </x:c>
    </x:row>
    <x:row r="18">
      <x:c r="A18" s="12" t="str">
        <x:v>gold_after_clarification</x:v>
      </x:c>
      <x:c r="B18" s="12" t="str">
        <x:v>Final formula for interactive cases.</x:v>
      </x:c>
    </x:row>
    <x:row r="19">
      <x:c r="A19" s="12" t="str">
        <x:v>limitation_target</x:v>
      </x:c>
      <x:c r="B19" s="12" t="str">
        <x:v>Reason the row belongs in its challenge stratum.</x:v>
      </x:c>
    </x:row>
    <x:row r="20">
      <x:c r="A20" s="12" t="str">
        <x:v>difficulty</x:v>
      </x:c>
      <x:c r="B20" s="12" t="str">
        <x:v>Ordinal qualitative difficulty from 1 to 5.</x:v>
      </x:c>
    </x:row>
    <x:row r="21">
      <x:c r="A21" s="12" t="str">
        <x:v>operators</x:v>
      </x:c>
      <x:c r="B21" s="12" t="str">
        <x:v>Main STL/logical constructs.</x:v>
      </x:c>
    </x:row>
    <x:row r="22">
      <x:c r="A22" s="12" t="str">
        <x:v>fragment</x:v>
      </x:c>
      <x:c r="B22" s="12" t="str">
        <x:v>Formula dialect/fragment, including symbolic or parameterized variants.</x:v>
      </x:c>
    </x:row>
    <x:row r="23">
      <x:c r="A23" s="12" t="str">
        <x:v>signal_context</x:v>
      </x:c>
      <x:c r="B23" s="12" t="str">
        <x:v>Definitions or grounding hints for signals and predicates.</x:v>
      </x:c>
    </x:row>
    <x:row r="24">
      <x:c r="A24" s="12" t="str">
        <x:v>notes</x:v>
      </x:c>
      <x:c r="B24" s="12" t="str">
        <x:v>Caveats and scoring guidance.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8" hidden="0" customWidth="1"/>
    <x:col min="4" max="4" width="60" hidden="0" customWidth="1"/>
  </x:cols>
  <x:sheetData>
    <x:row r="1">
      <x:c r="A1" s="5" t="str">
        <x:v>Source</x:v>
      </x:c>
      <x:c r="B1" s="5" t="str">
        <x:v>Use in dataset</x:v>
      </x:c>
      <x:c r="C1" s="5" t="str">
        <x:v>URL / locator</x:v>
      </x:c>
      <x:c r="D1" s="5" t="str">
        <x:v>Caveat</x:v>
      </x:c>
    </x:row>
    <x:row r="2">
      <x:c r="A2" s="12" t="str">
        <x:v>DeepSTL</x:v>
      </x:c>
      <x:c r="B2" s="12" t="str">
        <x:v>5 expected-strength + 25 limitation probes</x:v>
      </x:c>
      <x:c r="C2" s="12" t="str">
        <x:v>https://arxiv.org/abs/2109.10294</x:v>
      </x:c>
      <x:c r="D2" s="12" t="str">
        <x:v>Explicit examples are distinguished from paper-aligned constructions.</x:v>
      </x:c>
    </x:row>
    <x:row r="3">
      <x:c r="A3" s="12" t="str">
        <x:v>STL-DivEn / KGST</x:v>
      </x:c>
      <x:c r="B3" s="12" t="str">
        <x:v>5 expected-strength + 25 limitation probes</x:v>
      </x:c>
      <x:c r="C3" s="12" t="str">
        <x:v>https://arxiv.org/abs/2505.20658</x:v>
      </x:c>
      <x:c r="D3" s="12" t="str">
        <x:v>Includes paper introduction and case-table examples plus constructed refinement probes.</x:v>
      </x:c>
    </x:row>
    <x:row r="4">
      <x:c r="A4" s="12" t="str">
        <x:v>ChatSTL</x:v>
      </x:c>
      <x:c r="B4" s="12" t="str">
        <x:v>5 expected-strength + 25 limitation probes</x:v>
      </x:c>
      <x:c r="C4" s="12" t="str">
        <x:v>Uploaded NL-STL Examples.pdf, pp.5–6</x:v>
      </x:c>
      <x:c r="D4" s="12" t="str">
        <x:v>AP-level formulas were canonicalized; confirm original paper identity and dialect.</x:v>
      </x:c>
    </x:row>
    <x:row r="5">
      <x:c r="A5" s="12" t="str">
        <x:v>ClarifySTL</x:v>
      </x:c>
      <x:c r="B5" s="12" t="str">
        <x:v>5 expected-strength + 25 limitation probes</x:v>
      </x:c>
      <x:c r="C5" s="12" t="str">
        <x:v>https://arxiv.org/abs/2605.01209</x:v>
      </x:c>
      <x:c r="D5" s="12" t="str">
        <x:v>Interactive rows include fixed oracle answers for fair comparison.</x:v>
      </x:c>
    </x:row>
    <x:row r="6">
      <x:c r="A6" s="12" t="str">
        <x:v>RTAMT / RTAMT4ROS</x:v>
      </x:c>
      <x:c r="B6" s="12" t="str">
        <x:v>6 formula-first monitoring cases</x:v>
      </x:c>
      <x:c r="C6" s="12" t="str">
        <x:v>https://arxiv.org/abs/2005.11827</x:v>
      </x:c>
      <x:c r="D6" s="12" t="str">
        <x:v>Mix of explicit formulas and one source-aligned ROS variant.</x:v>
      </x:c>
    </x:row>
    <x:row r="7">
      <x:c r="A7" s="12" t="str">
        <x:v>Multi-agent STL planning</x:v>
      </x:c>
      <x:c r="B7" s="12" t="str">
        <x:v>6 formula-first planning cases</x:v>
      </x:c>
      <x:c r="C7" s="12" t="str">
        <x:v>https://arxiv.org/abs/2201.05247</x:v>
      </x:c>
      <x:c r="D7" s="12" t="str">
        <x:v>Several formulas are source-aligned benchmark patterns rather than verbatim.</x:v>
      </x:c>
    </x:row>
    <x:row r="8">
      <x:c r="A8" s="12" t="str">
        <x:v>Event-based STL</x:v>
      </x:c>
      <x:c r="B8" s="12" t="str">
        <x:v>6 formula-first reactive cases</x:v>
      </x:c>
      <x:c r="C8" s="12" t="str">
        <x:v>https://arxiv.org/abs/2011.00370</x:v>
      </x:c>
      <x:c r="D8" s="12" t="str">
        <x:v>Source-aligned event-triggered robot tasks.</x:v>
      </x:c>
    </x:row>
    <x:row r="9">
      <x:c r="A9" s="12" t="str">
        <x:v>AV STL constraints</x:v>
      </x:c>
      <x:c r="B9" s="12" t="str">
        <x:v>6 formula-first navigation cases</x:v>
      </x:c>
      <x:c r="C9" s="12" t="str">
        <x:v>https://arxiv.org/abs/2409.10689</x:v>
      </x:c>
      <x:c r="D9" s="12" t="str">
        <x:v>Source-aligned MPC/verification constraints.</x:v>
      </x:c>
    </x:row>
    <x:row r="10">
      <x:c r="A10" s="12" t="str">
        <x:v>Manipulation with STL</x:v>
      </x:c>
      <x:c r="B10" s="12" t="str">
        <x:v>6 formula-first manipulation cases</x:v>
      </x:c>
      <x:c r="C10" s="12" t="str">
        <x:v>https://arxiv.org/abs/2209.03001</x:v>
      </x:c>
      <x:c r="D10" s="12" t="str">
        <x:v>Includes explicit equations and source-aligned task constraints.</x:v>
      </x:c>
    </x:row>
  </x:sheetData>
  <x:pageMargins left="0.7" right="0.7" top="0.75" bottom="0.75" header="0.3" footer="0.3"/>
</x:worksheet>
</file>