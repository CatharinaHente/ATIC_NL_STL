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catharinahente/Downloads/ETH/Master_ITET/FS2026/AdvancedControl/nlstl_manual_review_package/"/>
    </mc:Choice>
  </mc:AlternateContent>
  <xr:revisionPtr revIDLastSave="0" documentId="8_{E9D0EC5D-A7BB-D64A-86B9-9DF2346E2DC5}" xr6:coauthVersionLast="47" xr6:coauthVersionMax="47" xr10:uidLastSave="{00000000-0000-0000-0000-000000000000}"/>
  <bookViews>
    <workbookView xWindow="0" yWindow="600" windowWidth="28800" windowHeight="16360" activeTab="1" xr2:uid="{00000000-000D-0000-FFFF-FFFF00000000}"/>
  </bookViews>
  <sheets>
    <sheet name="Review Guide" sheetId="1" r:id="rId1"/>
    <sheet name="Review Queue" sheetId="2" r:id="rId2"/>
    <sheet name="Mapping" sheetId="3" r:id="rId3"/>
    <sheet name="Starting Metric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11" i="2" l="1"/>
  <c r="AB111" i="2"/>
  <c r="AC110" i="2"/>
  <c r="AB110" i="2"/>
  <c r="AC109" i="2"/>
  <c r="AB109" i="2"/>
  <c r="AC108" i="2"/>
  <c r="AB108" i="2"/>
  <c r="AC107" i="2"/>
  <c r="AB107" i="2"/>
  <c r="AC106" i="2"/>
  <c r="AB106" i="2"/>
  <c r="AC105" i="2"/>
  <c r="AB105" i="2"/>
  <c r="AC104" i="2"/>
  <c r="AB104" i="2"/>
  <c r="AC103" i="2"/>
  <c r="AB103" i="2"/>
  <c r="AC102" i="2"/>
  <c r="AB102" i="2"/>
  <c r="AC101" i="2"/>
  <c r="AB101" i="2"/>
  <c r="AC100" i="2"/>
  <c r="AB100" i="2"/>
  <c r="AC99" i="2"/>
  <c r="AB99" i="2"/>
  <c r="AC98" i="2"/>
  <c r="AB98" i="2"/>
  <c r="AC97" i="2"/>
  <c r="AB97" i="2"/>
  <c r="AC96" i="2"/>
  <c r="AB96" i="2"/>
  <c r="AC95" i="2"/>
  <c r="AB95" i="2"/>
  <c r="AC94" i="2"/>
  <c r="AB94" i="2"/>
  <c r="AC93" i="2"/>
  <c r="AB93" i="2"/>
  <c r="AC92" i="2"/>
  <c r="AB92" i="2"/>
  <c r="AC91" i="2"/>
  <c r="AB91" i="2"/>
  <c r="AC90" i="2"/>
  <c r="AB90" i="2"/>
  <c r="AC89" i="2"/>
  <c r="AB89" i="2"/>
  <c r="AC88" i="2"/>
  <c r="AB88" i="2"/>
  <c r="AC87" i="2"/>
  <c r="AB87" i="2"/>
  <c r="AC86" i="2"/>
  <c r="AB86" i="2"/>
  <c r="AC85" i="2"/>
  <c r="AB85" i="2"/>
  <c r="AC84" i="2"/>
  <c r="AB84" i="2"/>
  <c r="AC83" i="2"/>
  <c r="AB83" i="2"/>
  <c r="AC82" i="2"/>
  <c r="AB82" i="2"/>
  <c r="AC81" i="2"/>
  <c r="AB81" i="2"/>
  <c r="AC80" i="2"/>
  <c r="AB80" i="2"/>
  <c r="AC79" i="2"/>
  <c r="AB79" i="2"/>
  <c r="AC78" i="2"/>
  <c r="AB78" i="2"/>
  <c r="AC77" i="2"/>
  <c r="AB77" i="2"/>
  <c r="AC76" i="2"/>
  <c r="AB76" i="2"/>
  <c r="AC75" i="2"/>
  <c r="AB75" i="2"/>
  <c r="AC74" i="2"/>
  <c r="AB74" i="2"/>
  <c r="AC73" i="2"/>
  <c r="AB73" i="2"/>
  <c r="AC72" i="2"/>
  <c r="AB72" i="2"/>
  <c r="AC71" i="2"/>
  <c r="AB71" i="2"/>
  <c r="AC70" i="2"/>
  <c r="AB70" i="2"/>
  <c r="AC69" i="2"/>
  <c r="AB69" i="2"/>
  <c r="AC68" i="2"/>
  <c r="AB68" i="2"/>
  <c r="AC67" i="2"/>
  <c r="AB67" i="2"/>
  <c r="AC66" i="2"/>
  <c r="AB66" i="2"/>
  <c r="AC65" i="2"/>
  <c r="AB65" i="2"/>
  <c r="AC64" i="2"/>
  <c r="AB64" i="2"/>
  <c r="AC63" i="2"/>
  <c r="AB63" i="2"/>
  <c r="AC62" i="2"/>
  <c r="AB62" i="2"/>
  <c r="AC61" i="2"/>
  <c r="AB61" i="2"/>
  <c r="AC60" i="2"/>
  <c r="AB60" i="2"/>
  <c r="AC59" i="2"/>
  <c r="AB59" i="2"/>
  <c r="AC58" i="2"/>
  <c r="AB58" i="2"/>
  <c r="AC57" i="2"/>
  <c r="AB57" i="2"/>
  <c r="AC56" i="2"/>
  <c r="AB56" i="2"/>
  <c r="AC55" i="2"/>
  <c r="AB55" i="2"/>
  <c r="AC54" i="2"/>
  <c r="AB54" i="2"/>
  <c r="AC53" i="2"/>
  <c r="AB53" i="2"/>
  <c r="AC52" i="2"/>
  <c r="AB52" i="2"/>
  <c r="AC51" i="2"/>
  <c r="AB51" i="2"/>
  <c r="AC50" i="2"/>
  <c r="AB50" i="2"/>
  <c r="AC49" i="2"/>
  <c r="AB49" i="2"/>
  <c r="AC48" i="2"/>
  <c r="AB48" i="2"/>
  <c r="AC47" i="2"/>
  <c r="AB47" i="2"/>
  <c r="AC46" i="2"/>
  <c r="AB46" i="2"/>
  <c r="AC45" i="2"/>
  <c r="AB45" i="2"/>
  <c r="AC44" i="2"/>
  <c r="AB44" i="2"/>
  <c r="AC43" i="2"/>
  <c r="AB43" i="2"/>
  <c r="AC42" i="2"/>
  <c r="AB42" i="2"/>
  <c r="AC41" i="2"/>
  <c r="AB41" i="2"/>
  <c r="AC40" i="2"/>
  <c r="AB40" i="2"/>
  <c r="AC39" i="2"/>
  <c r="AB39" i="2"/>
  <c r="AC38" i="2"/>
  <c r="AB38" i="2"/>
  <c r="AC37" i="2"/>
  <c r="AB37" i="2"/>
  <c r="AC36" i="2"/>
  <c r="AB36" i="2"/>
  <c r="AC35" i="2"/>
  <c r="AB35" i="2"/>
  <c r="AC34" i="2"/>
  <c r="AB34" i="2"/>
  <c r="AC33" i="2"/>
  <c r="AB33" i="2"/>
  <c r="AC32" i="2"/>
  <c r="AB32" i="2"/>
  <c r="AC31" i="2"/>
  <c r="AB31" i="2"/>
  <c r="AC30" i="2"/>
  <c r="AB30" i="2"/>
  <c r="AC29" i="2"/>
  <c r="AB29" i="2"/>
  <c r="AC28" i="2"/>
  <c r="AB28" i="2"/>
  <c r="AC27" i="2"/>
  <c r="AB27" i="2"/>
  <c r="AC26" i="2"/>
  <c r="AB26" i="2"/>
  <c r="AC25" i="2"/>
  <c r="AB25" i="2"/>
  <c r="AC24" i="2"/>
  <c r="AB24" i="2"/>
  <c r="AC23" i="2"/>
  <c r="AB23" i="2"/>
  <c r="AC22" i="2"/>
  <c r="AB22" i="2"/>
  <c r="AC21" i="2"/>
  <c r="AB21" i="2"/>
  <c r="AC20" i="2"/>
  <c r="AB20" i="2"/>
  <c r="AC19" i="2"/>
  <c r="AB19" i="2"/>
  <c r="AC18" i="2"/>
  <c r="AB18" i="2"/>
  <c r="AC17" i="2"/>
  <c r="AB17" i="2"/>
  <c r="AC16" i="2"/>
  <c r="AB16" i="2"/>
  <c r="AC15" i="2"/>
  <c r="AB15" i="2"/>
  <c r="AC14" i="2"/>
  <c r="AB14" i="2"/>
  <c r="AC13" i="2"/>
  <c r="AB13" i="2"/>
  <c r="AC12" i="2"/>
  <c r="AB12" i="2"/>
  <c r="AC11" i="2"/>
  <c r="AB11" i="2"/>
  <c r="AC10" i="2"/>
  <c r="AB10" i="2"/>
  <c r="AC9" i="2"/>
  <c r="AB9" i="2"/>
  <c r="AC8" i="2"/>
  <c r="AB8" i="2"/>
  <c r="AC7" i="2"/>
  <c r="AB7" i="2"/>
  <c r="AC6" i="2"/>
  <c r="AB6" i="2"/>
  <c r="AC5" i="2"/>
  <c r="AB5" i="2"/>
  <c r="AC4" i="2"/>
  <c r="AB4" i="2"/>
  <c r="AC3" i="2"/>
  <c r="AB3" i="2"/>
  <c r="AC2" i="2"/>
  <c r="AB2" i="2"/>
</calcChain>
</file>

<file path=xl/sharedStrings.xml><?xml version="1.0" encoding="utf-8"?>
<sst xmlns="http://schemas.openxmlformats.org/spreadsheetml/2006/main" count="3270" uniqueCount="906">
  <si>
    <t>NL–STL manual adjudication workbook</t>
  </si>
  <si>
    <t>Purpose</t>
  </si>
  <si>
    <t>Resolve the evaluator's conservative manual-review rows before computing paper-ready accuracy.</t>
  </si>
  <si>
    <t>Blinding</t>
  </si>
  <si>
    <t>Review formula semantics without using the model/condition identity. Condition mapping is kept on the Mapping sheet.</t>
  </si>
  <si>
    <t>Unit of review</t>
  </si>
  <si>
    <t>110 unique judgments cover 151 condition-level manual-review rows.</t>
  </si>
  <si>
    <t>Decision values</t>
  </si>
  <si>
    <t>pass_equivalent; fail_semantic; fail_clarification; uncertain</t>
  </si>
  <si>
    <t>pass_equivalent</t>
  </si>
  <si>
    <t>Predicted output is semantically acceptable under the stated signal context, even if syntax differs.</t>
  </si>
  <si>
    <t>fail_semantic</t>
  </si>
  <si>
    <t>Formula changes the meaning, timing, scope, trigger/event semantics, identifier, or threshold.</t>
  </si>
  <si>
    <t>fail_clarification</t>
  </si>
  <si>
    <t>Formula is exact/acceptable, but the clarification question targets the wrong or insufficient slot.</t>
  </si>
  <si>
    <t>uncertain</t>
  </si>
  <si>
    <t>Insufficient evidence; requires a third reviewer or trace-based equivalence check.</t>
  </si>
  <si>
    <t>Recommended process</t>
  </si>
  <si>
    <t>Two independent reviewers complete reviewer_1 and reviewer_2 fields; disagreements are resolved in final_* fields.</t>
  </si>
  <si>
    <t>Do not auto-pass</t>
  </si>
  <si>
    <t>rise(x) versus x, bounded versus unbounded operators, changed temporal nesting, or different trigger/consequent scope.</t>
  </si>
  <si>
    <t>Often equivalent</t>
  </si>
  <si>
    <t>Boolean shorthand x versus x=1 when context says Boolean; |a-b| versus |b-a|; redundant parentheses; commutative Boolean order.</t>
  </si>
  <si>
    <t>Final metrics</t>
  </si>
  <si>
    <t>Run adjudicate_and_plot.py only after final_decision is filled for every review row.</t>
  </si>
  <si>
    <t>review_id</t>
  </si>
  <si>
    <t>sample_id</t>
  </si>
  <si>
    <t>target_paper</t>
  </si>
  <si>
    <t>case_type</t>
  </si>
  <si>
    <t>task_mode</t>
  </si>
  <si>
    <t>difficulty</t>
  </si>
  <si>
    <t>review_reason</t>
  </si>
  <si>
    <t>requirement_nl</t>
  </si>
  <si>
    <t>clarified_requirement</t>
  </si>
  <si>
    <t>oracle_answer</t>
  </si>
  <si>
    <t>signal_context</t>
  </si>
  <si>
    <t>predicted_formula</t>
  </si>
  <si>
    <t>gold_formula</t>
  </si>
  <si>
    <t>alternative_gold_stl</t>
  </si>
  <si>
    <t>predicted_question</t>
  </si>
  <si>
    <t>gold_clarification_question</t>
  </si>
  <si>
    <t>equivalence_hint</t>
  </si>
  <si>
    <t>affected_condition_count</t>
  </si>
  <si>
    <t>affected_conditions</t>
  </si>
  <si>
    <t>reviewer_1_decision</t>
  </si>
  <si>
    <t>reviewer_1_error_category</t>
  </si>
  <si>
    <t>reviewer_1_notes</t>
  </si>
  <si>
    <t>reviewer_2_decision</t>
  </si>
  <si>
    <t>reviewer_2_error_category</t>
  </si>
  <si>
    <t>reviewer_2_notes</t>
  </si>
  <si>
    <t>final_decision</t>
  </si>
  <si>
    <t>final_error_category</t>
  </si>
  <si>
    <t>final_notes</t>
  </si>
  <si>
    <t>reviewer_disagreement</t>
  </si>
  <si>
    <t>resolved</t>
  </si>
  <si>
    <t>MR-001</t>
  </si>
  <si>
    <t>NLSTL150-007</t>
  </si>
  <si>
    <t>DeepSTL</t>
  </si>
  <si>
    <t>limitation_probe</t>
  </si>
  <si>
    <t>translate</t>
  </si>
  <si>
    <t>3</t>
  </si>
  <si>
    <t>Valid but non-identical formula; semantic equivalence not established</t>
  </si>
  <si>
    <t>At all times, at least one of the primary, secondary, or emergency pump must be running.</t>
  </si>
  <si>
    <t>Boolean (1=true, 0=false): `pump_primary`, `pump_secondary`, `pump_emergency`. Time: seconds. Use these exact identifiers; do not create aliases.</t>
  </si>
  <si>
    <t>G(pump_primary | pump_secondary | pump_emergency)</t>
  </si>
  <si>
    <t>G((pump_primary = 1) | (pump_secondary = 1) | (pump_emergency = 1))</t>
  </si>
  <si>
    <t>Possible Boolean-shorthand equivalence (e.g., x versus x = 1); confirm signal_context declares the identifier Boolean.</t>
  </si>
  <si>
    <t>Anthropic direct</t>
  </si>
  <si>
    <t>MR-002</t>
  </si>
  <si>
    <t>NLSTL150-010</t>
  </si>
  <si>
    <t>The door must be closed now, and a lock confirmation must arrive within 2 seconds.</t>
  </si>
  <si>
    <t>Boolean (1=true, 0=false): `door_closed`, `lock_confirmed`. Time: seconds. Use these exact identifiers; do not create aliases.</t>
  </si>
  <si>
    <t>door_closed &amp; F[0,2](lock_confirmed)</t>
  </si>
  <si>
    <t>(door_closed = 1) &amp; F[0,2](lock_confirmed = 1)</t>
  </si>
  <si>
    <t>MR-003</t>
  </si>
  <si>
    <t>NLSTL150-011</t>
  </si>
  <si>
    <t>4</t>
  </si>
  <si>
    <t>Whenever a fault occurs, recovery must begin within 5 seconds and then remain active for 10 seconds.</t>
  </si>
  <si>
    <t>Boolean (1=true, 0=false): `fault`, `recovery`. Semantics: `rise(p)` = false-to-true edge. Time: seconds. Use these exact identifiers; do not create aliases.</t>
  </si>
  <si>
    <t>G(rise(fault) -&gt; F[0,5](rise(recovery) &amp; G[0,10](recovery)))</t>
  </si>
  <si>
    <t>G(rise(fault = 1) -&gt; F[0,5](G[0,10](recovery = 1)))</t>
  </si>
  <si>
    <t>Anthropic direct; Clarify-inspired OpenAI; OpenAI direct</t>
  </si>
  <si>
    <t>MR-004</t>
  </si>
  <si>
    <t>NLSTL150-012</t>
  </si>
  <si>
    <t>The robot must remain outside the hazard zone until it reaches the charging station within 60 seconds.</t>
  </si>
  <si>
    <t>Boolean (1=true, 0=false): `hazard_zone`, `charging_station`. Time: seconds. Use these exact identifiers; do not create aliases.</t>
  </si>
  <si>
    <t>(!hazard_zone) U[0,60] (charging_station)</t>
  </si>
  <si>
    <t>(!(hazard_zone = 1)) U[0,60] (charging_station = 1)</t>
  </si>
  <si>
    <t>Anthropic direct; Clarify-inspired Anthropic; OpenAI direct</t>
  </si>
  <si>
    <t>MR-005</t>
  </si>
  <si>
    <t>(hazard_zone = 0) U[0,60] (charging_station = 1)</t>
  </si>
  <si>
    <t>Clarify-inspired OpenAI</t>
  </si>
  <si>
    <t>MR-006</t>
  </si>
  <si>
    <t>NLSTL150-013</t>
  </si>
  <si>
    <t>5</t>
  </si>
  <si>
    <t>Whenever reset is issued, the fault flag must have been false throughout the preceding 5 seconds.</t>
  </si>
  <si>
    <t>Boolean (1=true, 0=false): `reset`, `fault`. Time: seconds. Use these exact identifiers; do not create aliases.</t>
  </si>
  <si>
    <t>G(reset -&gt; H[0,5](!fault))</t>
  </si>
  <si>
    <t>G((reset = 1) -&gt; H[0,5](fault = 0))</t>
  </si>
  <si>
    <t>MR-007</t>
  </si>
  <si>
    <t>NLSTL150-014</t>
  </si>
  <si>
    <t>The warning must have remained active since the most recent loss-of-signal event.</t>
  </si>
  <si>
    <t>Boolean (1=true, 0=false): `warning`, `loss_of_signal`. Time: follows the requirement; unbounded operators have no finite interval. Use these exact identifiers; do not create aliases.</t>
  </si>
  <si>
    <t>(warning) S (loss_of_signal)</t>
  </si>
  <si>
    <t>(warning = 1) S (loss_of_signal = 1)</t>
  </si>
  <si>
    <t>MR-008</t>
  </si>
  <si>
    <t>NLSTL150-015</t>
  </si>
  <si>
    <t>Whenever enable rises, output must turn on within 1 second; whenever enable falls, output must turn off within 1 second.</t>
  </si>
  <si>
    <t>Boolean (1=true, 0=false): `enable`, `output`. Semantics: `rise(p)` = false-to-true edge; `fall(p)` = true-to-false edge. Time: seconds. Use these exact identifiers; do not create aliases.</t>
  </si>
  <si>
    <t>G((rise(enable = 1)) -&gt; F[0,1](rise(output = 1))) &amp; G((fall(enable = 1)) -&gt; F[0,1](fall(output = 1)))</t>
  </si>
  <si>
    <t>G(rise(enable = 1) -&gt; F[0,1](output = 1)) &amp; G(fall(enable = 1) -&gt; F[0,1](output = 0))</t>
  </si>
  <si>
    <t>MR-009</t>
  </si>
  <si>
    <t>G(rise(enable) -&gt; F[0,1](output = 1)) &amp; G(fall(enable) -&gt; F[0,1](output = 0))</t>
  </si>
  <si>
    <t>Anthropic direct; OpenAI direct</t>
  </si>
  <si>
    <t>MR-010</t>
  </si>
  <si>
    <t>NLSTL150-020</t>
  </si>
  <si>
    <t>clarify_then_translate</t>
  </si>
  <si>
    <t>Within 20 seconds, if signal A rises, signal B must stay below 3.</t>
  </si>
  <si>
    <t>Whenever signal A rises, signal B must remain below 3 for the next 20 seconds.</t>
  </si>
  <si>
    <t>It starts when signal A rises.</t>
  </si>
  <si>
    <t>Numeric: `B`. Boolean (1=true, 0=false): `A`. Semantics: `rise(p)` = false-to-true edge. Time: seconds. Use these exact identifiers; do not create aliases.</t>
  </si>
  <si>
    <t>G(rise(A) -&gt; G[0,20](B &lt; 3))</t>
  </si>
  <si>
    <t>G(rise(A = 1) -&gt; G[0,20](B &lt; 3))</t>
  </si>
  <si>
    <t>For how long after A rises must B remain below 3 (e.g., until 20 seconds from the start, for 20 seconds after the rise, or indefinitely)?</t>
  </si>
  <si>
    <t>Does the 20-second interval start now, or when signal A rises?</t>
  </si>
  <si>
    <t>Clarify-inspired Anthropic; Clarify-inspired OpenAI; OpenAI direct</t>
  </si>
  <si>
    <t>MR-011</t>
  </si>
  <si>
    <t>NLSTL150-022</t>
  </si>
  <si>
    <t>After a request, the grant should arrive soon.</t>
  </si>
  <si>
    <t>Every request must be followed by a grant within 3 seconds.</t>
  </si>
  <si>
    <t>At most 3 seconds.</t>
  </si>
  <si>
    <t>Boolean (1=true, 0=false): `request`, `grant`. Semantics: `rise(p)` = false-to-true edge. Time: seconds. Use these exact identifiers; do not create aliases.</t>
  </si>
  <si>
    <t>G((rise(request)) -&gt; (F[0,3](grant)))</t>
  </si>
  <si>
    <t>G(rise(request = 1) -&gt; F[0,3](grant = 1))</t>
  </si>
  <si>
    <t>What is the exact time bound (interval, e.g., within X time units) that defines 'soon' for the grant to arrive after a request?</t>
  </si>
  <si>
    <t>What is the maximum delay allowed for the grant?</t>
  </si>
  <si>
    <t>MR-012</t>
  </si>
  <si>
    <t>G(rise(request) -&gt; F[0,3](grant = 1))</t>
  </si>
  <si>
    <t>What is the exact maximum time bound (e.g., within N time units) within which grant must become true after request, and should this be triggered on each rising edge of request or whenever request holds true?</t>
  </si>
  <si>
    <t>Clarify-inspired Anthropic</t>
  </si>
  <si>
    <t>MR-013</t>
  </si>
  <si>
    <t>G(rise(request) -&gt; F[0,3](rise(grant)))</t>
  </si>
  <si>
    <t>What time interval should define “soon” for the grant after a request?</t>
  </si>
  <si>
    <t>Clarify-inspired OpenAI; OpenAI direct</t>
  </si>
  <si>
    <t>MR-014</t>
  </si>
  <si>
    <t>NLSTL150-023</t>
  </si>
  <si>
    <t>Formula exact, but clarification question may target the wrong slot</t>
  </si>
  <si>
    <t>The backup controller must take over when necessary.</t>
  </si>
  <si>
    <t>Whenever primary_ok equals 0, the backup controller must take over.</t>
  </si>
  <si>
    <t>When primary_ok equals 0.</t>
  </si>
  <si>
    <t>Boolean (1=true, 0=false): `primary_ok`, `backup_active`. Time: follows the requirement; unbounded operators have no finite interval. Use these exact identifiers; do not create aliases.</t>
  </si>
  <si>
    <t>G((primary_ok = 0) -&gt; (backup_active = 1))</t>
  </si>
  <si>
    <t>What exact condition defines “when necessary” (using `primary_ok` and/or `backup_active`), and must `backup_active` become true immediately or within a specified time bound?</t>
  </si>
  <si>
    <t>Which observable condition makes takeover necessary?</t>
  </si>
  <si>
    <t>Formula is exact; adjudicate only whether the clarification question targets the annotated missing slot.</t>
  </si>
  <si>
    <t>OpenAI direct</t>
  </si>
  <si>
    <t>MR-015</t>
  </si>
  <si>
    <t>G((primary_ok = 0) -&gt; F(backup_active = 1))</t>
  </si>
  <si>
    <t>Should 'necessary' be defined as primary_ok becoming false (primary_ok=0), and if so, within what time bound after that must backup_active become true?</t>
  </si>
  <si>
    <t>MR-016</t>
  </si>
  <si>
    <t>G((primary_ok = 0) -&gt; backup_active)</t>
  </si>
  <si>
    <t>What condition defines 'when necessary' for backup takeover — specifically, should this be interpreted as backup_active becoming true whenever primary_ok is false (i.e., !primary_ok -&gt; backup_active), or is there a different triggering condition intended?</t>
  </si>
  <si>
    <t>MR-017</t>
  </si>
  <si>
    <t>NLSTL150-024</t>
  </si>
  <si>
    <t>After a request, acknowledge within 1 second, begin service within 5 seconds, and finish within 20 seconds.</t>
  </si>
  <si>
    <t>Boolean (1=true, 0=false): `request`, `ack`, `service_started`, `service_done`. Semantics: `rise(p)` = false-to-true edge. Time: seconds. Use these exact identifiers; do not create aliases.</t>
  </si>
  <si>
    <t>G(rise(request) -&gt; (F[0,1](ack) &amp; F[0,5](service_started) &amp; F[0,20](service_done)))</t>
  </si>
  <si>
    <t>G(rise(request = 1) -&gt; (F[0,1](ack = 1) &amp; F[0,5](service_started = 1) &amp; F[0,20](service_done = 1)))</t>
  </si>
  <si>
    <t>MR-018</t>
  </si>
  <si>
    <t>G(rise(request) -&gt; (F[0,1](rise(ack)) &amp; F[0,5](rise(service_started)) &amp; F[0,20](rise(service_done))))</t>
  </si>
  <si>
    <t>MR-019</t>
  </si>
  <si>
    <t>NLSTL150-025</t>
  </si>
  <si>
    <t>Between times 20 and 50, x1 plus x2 must not exceed 1.5 unless x3 becomes greater than 2 within 4 time units.</t>
  </si>
  <si>
    <t>Numeric: `x1`, `x2`, `x3`. Time: abstract benchmark time units. Use these exact identifiers; do not create aliases.</t>
  </si>
  <si>
    <t>G[20,50]((x1 + x2 &lt;= 1.5) U[0,4] (x3 &gt; 2))</t>
  </si>
  <si>
    <t>G[20,50](((x1 + x2) &lt;= 1.5) U[2,4](x3 &gt; 2))</t>
  </si>
  <si>
    <t>MR-020</t>
  </si>
  <si>
    <t>NLSTL150-027</t>
  </si>
  <si>
    <t>Whenever temperature leaves the interval 20 to 30, it must return to that interval within 6 seconds and stay there for 4 seconds.</t>
  </si>
  <si>
    <t>Numeric: `temperature`. Time: seconds. Use these exact identifiers; do not create aliases.</t>
  </si>
  <si>
    <t>G((temperature &lt; 20 | temperature &gt; 30) -&gt; F[0,6](G[0,4](temperature &gt;= 20 &amp; temperature &lt;= 30)))</t>
  </si>
  <si>
    <t>G((!((temperature &gt;= 20) &amp; (temperature &lt;= 30))) -&gt; F[0,6](G[0,4]((temperature &gt;= 20) &amp; (temperature &lt;= 30))))</t>
  </si>
  <si>
    <t>MR-021</t>
  </si>
  <si>
    <t>NLSTL150-030</t>
  </si>
  <si>
    <t>Every goal region must be visited by at least one of the three robots before 90 seconds while all robot pairs remain at least 1 metre apart.</t>
  </si>
  <si>
    <t>Numeric: `d12`, `d13`, `d23`. Boolean (1=true, 0=false): `goal_1_r1`, `goal_1_r2`, `goal_1_r3`, `goal_2_r1`, `goal_2_r2`, `goal_2_r3`. Time: seconds. Use these exact identifiers; do not create aliases.</t>
  </si>
  <si>
    <t>(F[0,90](goal_1_r1 = 1 | goal_1_r2 = 1 | goal_1_r3 = 1) &amp; F[0,90](goal_2_r1 = 1 | goal_2_r2 = 1 | goal_2_r3 = 1)) &amp; G(d12 &gt;= 1 &amp; d13 &gt;= 1 &amp; d23 &gt;= 1)</t>
  </si>
  <si>
    <t>(F[0,90](goal_1_r1 | goal_1_r2 | goal_1_r3) &amp; F[0,90](goal_2_r1 | goal_2_r2 | goal_2_r3)) &amp; G((d12 &gt;= 1) &amp; (d13 &gt;= 1) &amp; (d23 &gt;= 1))</t>
  </si>
  <si>
    <t>MR-022</t>
  </si>
  <si>
    <t>NLSTL150-031</t>
  </si>
  <si>
    <t>STL-DivEn/KGST</t>
  </si>
  <si>
    <t>expected_strength</t>
  </si>
  <si>
    <t>Between time 20 and 50, the sum of signals x1 and x2 must not exceed 1.5, unless within 2 to 4 time units later x3 exceeds 2.</t>
  </si>
  <si>
    <t>G[20,50]((x1 + x2 &lt;= 1.5) | F[2,4](x3 &gt; 2))</t>
  </si>
  <si>
    <t>MR-023</t>
  </si>
  <si>
    <t>NLSTL150-032</t>
  </si>
  <si>
    <t>Whenever z2 is below -0.5 or above 0.5 during the first 500 time units, z1 must exceed 1 within 200 time units and stay above 1 for at least 50 time units.</t>
  </si>
  <si>
    <t>Numeric: `z2`, `z1`. Semantics: `abs(x)` = absolute value. Time: abstract benchmark time units. Use these exact identifiers; do not create aliases.</t>
  </si>
  <si>
    <t>G[0,500](((z2 &lt; -0.5 | z2 &gt; 0.5) -&gt; F[0,200]((z1 &gt; 1) &amp; G[0,50](z1 &gt; 1))))</t>
  </si>
  <si>
    <t>G[0,500]((abs(z2) &gt; 0.5) -&gt; F[0,200](G[0,50](z1 &gt; 1)))</t>
  </si>
  <si>
    <t>MR-024</t>
  </si>
  <si>
    <t>NLSTL150-037</t>
  </si>
  <si>
    <t>Whenever a request occurs during the first 100 seconds, a response must arrive within 4 seconds.</t>
  </si>
  <si>
    <t>Boolean (1=true, 0=false): `request`, `response`. Semantics: `rise(p)` = false-to-true edge. Time: seconds. Use these exact identifiers; do not create aliases.</t>
  </si>
  <si>
    <t>G[0,100](rise(request) -&gt; F[0,4](response = 1))</t>
  </si>
  <si>
    <t>G[0,100](rise(request = 1) -&gt; F[0,4](response = 1))</t>
  </si>
  <si>
    <t>MR-025</t>
  </si>
  <si>
    <t>G[0,100](rise(request) -&gt; F[0,4](response))</t>
  </si>
  <si>
    <t>MR-026</t>
  </si>
  <si>
    <t>G[0,100](rise(request) -&gt; F[0,4](rise(response)))</t>
  </si>
  <si>
    <t>MR-027</t>
  </si>
  <si>
    <t>NLSTL150-038</t>
  </si>
  <si>
    <t>A grant may be issued only if a request occurred within the previous 5 seconds.</t>
  </si>
  <si>
    <t>Boolean (1=true, 0=false): `grant`, `request`. Time: seconds. Use these exact identifiers; do not create aliases.</t>
  </si>
  <si>
    <t>G(grant -&gt; O[0,5](request))</t>
  </si>
  <si>
    <t>G((grant = 1) -&gt; O[0,5](request = 1))</t>
  </si>
  <si>
    <t>Anthropic direct; Clarify-inspired Anthropic</t>
  </si>
  <si>
    <t>MR-028</t>
  </si>
  <si>
    <t>NLSTL150-043</t>
  </si>
  <si>
    <t>If A or B is true and C is false, D must occur within 2 seconds.</t>
  </si>
  <si>
    <t>Boolean (1=true, 0=false): `A`, `B`, `C`, `D`. Time: seconds. Use these exact identifiers; do not create aliases.</t>
  </si>
  <si>
    <t>G(((A | B) &amp; !C) -&gt; F[0,2](D))</t>
  </si>
  <si>
    <t>G(((A = 1) | ((B = 1) &amp; (C = 0))) -&gt; F[0,2](D = 1))</t>
  </si>
  <si>
    <t>MR-029</t>
  </si>
  <si>
    <t>NLSTL150-046</t>
  </si>
  <si>
    <t>Each time start changes from false to true, ready must be asserted within 3 seconds.</t>
  </si>
  <si>
    <t>Boolean (1=true, 0=false): `start`, `ready`. Semantics: `rise(p)` = false-to-true edge. Time: seconds. Use these exact identifiers; do not create aliases.</t>
  </si>
  <si>
    <t>G(rise(start) -&gt; F[0,3](ready = 1))</t>
  </si>
  <si>
    <t>G(rise(start = 1) -&gt; F[0,3](ready = 1))</t>
  </si>
  <si>
    <t>MR-030</t>
  </si>
  <si>
    <t>G(rise(start) -&gt; F[0,3](ready))</t>
  </si>
  <si>
    <t>MR-031</t>
  </si>
  <si>
    <t>NLSTL150-047</t>
  </si>
  <si>
    <t>Every request must receive its own response within 5 seconds even if requests overlap.</t>
  </si>
  <si>
    <t>G(rise(request) -&gt; F[0,5](response))</t>
  </si>
  <si>
    <t>G(rise(request = 1) -&gt; F[0,5](response = 1))</t>
  </si>
  <si>
    <t>MR-032</t>
  </si>
  <si>
    <t>NLSTL150-048</t>
  </si>
  <si>
    <t>Whenever A and not A hold, B must occur within 2 seconds.</t>
  </si>
  <si>
    <t>Boolean (1=true, 0=false): `A`, `B`. Time: seconds. Use these exact identifiers; do not create aliases.</t>
  </si>
  <si>
    <t>G((A &amp; !A) -&gt; F[0,2](B))</t>
  </si>
  <si>
    <t>G(((A = 1) &amp; !(A = 1)) -&gt; F[0,2](B = 1))</t>
  </si>
  <si>
    <t>MR-033</t>
  </si>
  <si>
    <t>NLSTL150-050</t>
  </si>
  <si>
    <t>Whenever the door unlocks, authorization must have been continuously valid for the previous 10 seconds.</t>
  </si>
  <si>
    <t>Boolean (1=true, 0=false): `door_unlocked`, `authorization_valid`. Semantics: `rise(p)` = false-to-true edge. Time: seconds. Use these exact identifiers; do not create aliases.</t>
  </si>
  <si>
    <t>G(rise(door_unlocked) -&gt; H[0,10](authorization_valid))</t>
  </si>
  <si>
    <t>G(rise(door_unlocked = 1) -&gt; H[0,10](authorization_valid = 1))</t>
  </si>
  <si>
    <t>MR-034</t>
  </si>
  <si>
    <t>NLSTL150-053</t>
  </si>
  <si>
    <t>When a vehicle is close, keep at least 2 metres away; the retrieved domain rule defines close as below 3 metres but a second rule defines it as below 5 metres.</t>
  </si>
  <si>
    <t>Whenever another vehicle is within 3 metres, maintain at least 2 metres of separation.</t>
  </si>
  <si>
    <t>Use below 3 metres.</t>
  </si>
  <si>
    <t>Numeric: `vehicle_distance` [m], `separation` [m]. Time: follows the requirement; unbounded operators have no finite interval. Use these exact identifiers; do not create aliases.</t>
  </si>
  <si>
    <t>G((vehicle_distance &lt; 3) -&gt; (separation &gt;= 2))</t>
  </si>
  <si>
    <t>Two conflicting domain rules define 'close' differently (below 3 metres vs below 5 metres) — which threshold should be used for vehicle_distance to determine 'close'?</t>
  </si>
  <si>
    <t>Which definition of “close” should govern this requirement?</t>
  </si>
  <si>
    <t>MR-035</t>
  </si>
  <si>
    <t>Which threshold and signal should define “vehicle is close” (&lt;3 m or &lt;5 m, using `vehicle_distance` or `separation`)?</t>
  </si>
  <si>
    <t>MR-036</t>
  </si>
  <si>
    <t>Which threshold should define “a vehicle is close” for this requirement: vehicle_distance &lt; 3 m or vehicle_distance &lt; 5 m?</t>
  </si>
  <si>
    <t>MR-037</t>
  </si>
  <si>
    <t>NLSTL150-056</t>
  </si>
  <si>
    <t>During the first 120 seconds, whenever either sensor A exceeds 5 or sensor B falls below -2, actuator C must respond within 4 seconds, stay active for 6 seconds, and keep error D below 0.1 unless override E is asserted.</t>
  </si>
  <si>
    <t>Numeric: `A`, `B`, `D`. Boolean (1=true, 0=false): `E`, `C`. Time: seconds. Use these exact identifiers; do not create aliases.</t>
  </si>
  <si>
    <t>G[0,120](((A &gt; 5) | (B &lt; -2)) -&gt; F[0,4](G[0,6](C = 1 &amp; ((E = 1) | (D &lt; 0.1)))))</t>
  </si>
  <si>
    <t>G[0,120]((((A &gt; 5) | (B &lt; -2)) &amp; !(E = 1)) -&gt; F[0,4](G[0,6]((C = 1) &amp; (D &lt; 0.1))))</t>
  </si>
  <si>
    <t>MR-038</t>
  </si>
  <si>
    <t>G[0,120]((A&gt;5 | B&lt;-2) -&gt; F[0,4](G[0,6]((C=1) &amp; (D&lt;0.1 | E=1))))</t>
  </si>
  <si>
    <t>MR-039</t>
  </si>
  <si>
    <t>NLSTL150-057</t>
  </si>
  <si>
    <t>When valve A opens while valve B is closed, it must close within 3 seconds.</t>
  </si>
  <si>
    <t>When valve A opens while valve B is closed, valve A must close within 3 seconds.</t>
  </si>
  <si>
    <t>Valve A.</t>
  </si>
  <si>
    <t>Boolean (1=true, 0=false): `valve_A`, `valve_B`. Time: seconds. Use these exact identifiers; do not create aliases.</t>
  </si>
  <si>
    <t>G((rise(valve_A) &amp; (valve_B = 0)) -&gt; F[0,3](valve_A = 0))</t>
  </si>
  <si>
    <t>G(((valve_A = 1) &amp; (valve_B = 0)) -&gt; F[0,3](valve_A = 0))</t>
  </si>
  <si>
    <t>Does 'it must close within 3 seconds' refer to valve_A (the valve that just opened) needing to close again, or to valve_B, and should the triggering condition 'valve A opens while valve B is closed' be interpreted as an instantaneous rising-edge event on valve_A?</t>
  </si>
  <si>
    <t>Which valve must close within 3 seconds?</t>
  </si>
  <si>
    <t>Likely transition-versus-state difference: rise(x) is generally stricter than x being true.</t>
  </si>
  <si>
    <t>MR-040</t>
  </si>
  <si>
    <t>NLSTL150-059</t>
  </si>
  <si>
    <t>If A, B, C, and D are all true while E is false, then F or G must occur within 5 seconds.</t>
  </si>
  <si>
    <t>Boolean (1=true, 0=false): `A`, `B`, `C`, `D`, `E`, `Fsig`, `Gsig`. Time: seconds. Use these exact identifiers; do not create aliases.</t>
  </si>
  <si>
    <t>G((A &amp; B &amp; C &amp; D &amp; !E) -&gt; F[0,5](Fsig | Gsig))</t>
  </si>
  <si>
    <t>G(((A = 1) &amp; (B = 1) &amp; (C = 1) &amp; (D = 1) &amp; !(E = 1)) -&gt; F[0,5]((Fsig = 1) | (Gsig = 1)))</t>
  </si>
  <si>
    <t>MR-041</t>
  </si>
  <si>
    <t>NLSTL150-061</t>
  </si>
  <si>
    <t>ChatSTL</t>
  </si>
  <si>
    <t>On a narrow road, when an oncoming vehicle cannot pass, yield, reverse into a safe region, and allow the other vehicle to pass without collision.</t>
  </si>
  <si>
    <t>Boolean (1=true, 0=false): `collision_free`, `check_waiting`, `backward`, `safe_region_found`, `other_vehicle_passed`. Time: follows the requirement; unbounded operators have no finite interval. Use these exact identifiers; do not create aliases.</t>
  </si>
  <si>
    <t>G(check_waiting -&gt; (backward U (safe_region_found &amp; other_vehicle_passed &amp; collision_free)))</t>
  </si>
  <si>
    <t>G(collision_free) &amp; F(check_waiting &amp; (backward U (safe_region_found &amp; other_vehicle_passed)))</t>
  </si>
  <si>
    <t>MR-042</t>
  </si>
  <si>
    <t>NLSTL150-062</t>
  </si>
  <si>
    <t>Predict the behaviour of a rear vehicle, find a safe place, pull over, and allow the rear vehicle to pass while avoiding collision.</t>
  </si>
  <si>
    <t>Boolean (1=true, 0=false): `collision_free`, `behavior_predicted`, `safe_region_found`, `pulled_over`, `rear_vehicle_passed`. Time: follows the requirement; unbounded operators have no finite interval. Use these exact identifiers; do not create aliases.</t>
  </si>
  <si>
    <t>G(collision_free) &amp; F(behavior_predicted) &amp; F(safe_region_found) &amp; F(pulled_over) &amp; F(rear_vehicle_passed)</t>
  </si>
  <si>
    <t>G(collision_free) &amp; F(behavior_predicted &amp; safe_region_found &amp; pulled_over &amp; rear_vehicle_passed)</t>
  </si>
  <si>
    <t>MR-043</t>
  </si>
  <si>
    <t>NLSTL150-063</t>
  </si>
  <si>
    <t>Recognize a construction-zone obstruction, safely merge into the adjacent lane, and continue without disrupting either vehicle.</t>
  </si>
  <si>
    <t>Boolean (1=true, 0=false): `collision_free`, `construction_detected`, `safe_gap_found`, `lane_merge_completed`, `journey_resumed`. Time: follows the requirement; unbounded operators have no finite interval. Use these exact identifiers; do not create aliases.</t>
  </si>
  <si>
    <t>F(construction_detected &amp; F(safe_gap_found &amp; F(lane_merge_completed &amp; F(journey_resumed)))) &amp; G(collision_free)</t>
  </si>
  <si>
    <t>G(collision_free) &amp; F(construction_detected &amp; safe_gap_found &amp; lane_merge_completed &amp; journey_resumed)</t>
  </si>
  <si>
    <t>MR-044</t>
  </si>
  <si>
    <t>G(collision_free) &amp; G(construction_detected -&gt; F(safe_gap_found &amp; F(lane_merge_completed &amp; F(journey_resumed))))</t>
  </si>
  <si>
    <t>MR-045</t>
  </si>
  <si>
    <t>NLSTL150-068</t>
  </si>
  <si>
    <t>Merge only after both the motorcycle in the blind spot and the car ahead are at least 5 metres away.</t>
  </si>
  <si>
    <t>Numeric: `motorcycle_distance` [m], `lead_vehicle_distance` [m]. Boolean (1=true, 0=false): `merge_started`. Time: follows the requirement; unbounded operators have no finite interval. Use these exact identifiers; do not create aliases.</t>
  </si>
  <si>
    <t>G(merge_started = 1 -&gt; (motorcycle_distance &gt;= 5 &amp; lead_vehicle_distance &gt;= 5))</t>
  </si>
  <si>
    <t>G(merge_started -&gt; ((motorcycle_distance &gt;= 5) &amp; (lead_vehicle_distance &gt;= 5)))</t>
  </si>
  <si>
    <t>MR-046</t>
  </si>
  <si>
    <t>NLSTL150-069</t>
  </si>
  <si>
    <t>Proceed through the intersection only when the light is green and no pedestrian is in the crosswalk.</t>
  </si>
  <si>
    <t>Boolean (1=true, 0=false): `proceed`, `light_green`, `pedestrian_in_crosswalk`. Time: follows the requirement; unbounded operators have no finite interval. Use these exact identifiers; do not create aliases.</t>
  </si>
  <si>
    <t>G((proceed = 1) -&gt; ((light_green = 1) &amp; (pedestrian_in_crosswalk = 0)))</t>
  </si>
  <si>
    <t>G(proceed -&gt; ((light_green = 1) &amp; (pedestrian_in_crosswalk = 0)))</t>
  </si>
  <si>
    <t>MR-047</t>
  </si>
  <si>
    <t>G(proceed -&gt; (light_green &amp; !pedestrian_in_crosswalk))</t>
  </si>
  <si>
    <t>Anthropic direct; Clarify-inspired OpenAI</t>
  </si>
  <si>
    <t>MR-048</t>
  </si>
  <si>
    <t>NLSTL150-074</t>
  </si>
  <si>
    <t>Perform a U-turn only after confirming that both directions are clear for 4 seconds.</t>
  </si>
  <si>
    <t>Boolean (1=true, 0=false): `u_turn_started`, `left_clear`, `right_clear`. Time: seconds. Use these exact identifiers; do not create aliases.</t>
  </si>
  <si>
    <t>G(u_turn_started -&gt; H[0,4](left_clear &amp; right_clear))</t>
  </si>
  <si>
    <t>G(u_turn_started -&gt; H[0,4]((left_clear = 1) &amp; (right_clear = 1)))</t>
  </si>
  <si>
    <t>MR-049</t>
  </si>
  <si>
    <t>NLSTL150-075</t>
  </si>
  <si>
    <t>Within 30 seconds, move to the right lane, remain there for at least 5 seconds, and then take the exit.</t>
  </si>
  <si>
    <t>Boolean (1=true, 0=false): `right_lane`, `exit_taken`. Time: seconds. Use these exact identifiers; do not create aliases.</t>
  </si>
  <si>
    <t>F[0,30](G[0,5](right_lane) &amp; F(exit_taken))</t>
  </si>
  <si>
    <t>F[0,30]((right_lane = 1) &amp; G[0,5](right_lane = 1) &amp; F(exit_taken = 1))</t>
  </si>
  <si>
    <t>MR-050</t>
  </si>
  <si>
    <t>NLSTL150-076</t>
  </si>
  <si>
    <t>Visit checkpoint A, then B, and arrive at the destination within 10 minutes without entering toll roads.</t>
  </si>
  <si>
    <t>Boolean (1=true, 0=false): `checkpoint_A`, `checkpoint_B`, `destination`, `toll_road`. Time: seconds in STL intervals; convert stated minutes to seconds. Use these exact identifiers; do not create aliases.</t>
  </si>
  <si>
    <t>F[0,600](checkpoint_A &amp; F(checkpoint_B &amp; F(destination))) &amp; G[0,600](!toll_road)</t>
  </si>
  <si>
    <t>F[0,600](checkpoint_A &amp; F(checkpoint_B &amp; F(destination))) &amp; G(!(toll_road = 1))</t>
  </si>
  <si>
    <t>MR-051</t>
  </si>
  <si>
    <t>NLSTL150-078</t>
  </si>
  <si>
    <t>Merge when there is a safe gap.</t>
  </si>
  <si>
    <t>Merge only when front gap is at least 8 metres and rear gap at least 6 metres.</t>
  </si>
  <si>
    <t>At least 8 metres in front and 6 metres behind.</t>
  </si>
  <si>
    <t>Numeric: `front_gap` [m], `rear_gap` [m]. Boolean (1=true, 0=false): `merge_started`. Time: follows the requirement; unbounded operators have no finite interval. Use these exact identifiers; do not create aliases.</t>
  </si>
  <si>
    <t>G((front_gap &gt;= 8 &amp; rear_gap &gt;= 6) -&gt; merge_started = 1)</t>
  </si>
  <si>
    <t>G(merge_started -&gt; ((front_gap &gt;= 8) &amp; (rear_gap &gt;= 6)))</t>
  </si>
  <si>
    <t>What numerical thresholds on `front_gap` and `rear_gap` define a safe gap, and must `merge_started` become true immediately when both thresholds are satisfied?</t>
  </si>
  <si>
    <t>What front and rear distances define a safe gap?</t>
  </si>
  <si>
    <t>MR-052</t>
  </si>
  <si>
    <t>NLSTL150-081</t>
  </si>
  <si>
    <t>The warehouse robot must pick a package and deliver it to station B within 60 seconds.</t>
  </si>
  <si>
    <t>Boolean (1=true, 0=false): `package_at_station_B`. Time: seconds. Use these exact identifiers; do not create aliases.</t>
  </si>
  <si>
    <t>F[0,60](package_at_station_B)</t>
  </si>
  <si>
    <t>F[0,60](package_at_station_B = 1)</t>
  </si>
  <si>
    <t>MR-053</t>
  </si>
  <si>
    <t>NLSTL150-082</t>
  </si>
  <si>
    <t>The drone must remain below 120 metres and reach the inspection point within 90 seconds.</t>
  </si>
  <si>
    <t>Numeric: `altitude` [m]. Boolean (1=true, 0=false): `inspection_point`. Time: seconds. Use these exact identifiers; do not create aliases.</t>
  </si>
  <si>
    <t>G(altitude &lt; 120) &amp; F[0,90](inspection_point = 1)</t>
  </si>
  <si>
    <t>G(altitude &lt;= 120) &amp; F[0,90](inspection_point = 1)</t>
  </si>
  <si>
    <t>MR-054</t>
  </si>
  <si>
    <t>NLSTL150-083</t>
  </si>
  <si>
    <t>While yielding, keep longitudinal acceleration between -2 and 1.5 m/s² and jerk below 1 m/s³.</t>
  </si>
  <si>
    <t>Numeric: `accel` [m/s^2], `jerk` [m/s^3]. Boolean (1=true, 0=false): `yielding`. Semantics: `abs(x)` = absolute value. Time: follows the requirement; unbounded operators have no finite interval. Use these exact identifiers; do not create aliases.</t>
  </si>
  <si>
    <t>G(yielding -&gt; ((accel &gt;= -2) &amp; (accel &lt;= 1.5) &amp; (jerk &lt; 1)))</t>
  </si>
  <si>
    <t>G(yielding -&gt; ((accel &gt;= -2) &amp; (accel &lt;= 1.5) &amp; (abs(jerk) &lt; 1)))</t>
  </si>
  <si>
    <t>MR-055</t>
  </si>
  <si>
    <t>G(yielding = 1 -&gt; (accel &gt;= -2 &amp; accel &lt;= 1.5 &amp; abs(jerk) &lt; 1))</t>
  </si>
  <si>
    <t>MR-056</t>
  </si>
  <si>
    <t>G(yielding = 1 -&gt; (accel &gt;= -2 &amp; accel &lt;= 1.5 &amp; jerk &lt; 1))</t>
  </si>
  <si>
    <t>MR-057</t>
  </si>
  <si>
    <t>NLSTL150-086</t>
  </si>
  <si>
    <t>Enter the intersection only if the traffic light has been green continuously for the previous 2 seconds.</t>
  </si>
  <si>
    <t>Boolean (1=true, 0=false): `enter_intersection`, `light_green`. Time: seconds. Use these exact identifiers; do not create aliases.</t>
  </si>
  <si>
    <t>G(enter_intersection -&gt; H[0,2](light_green))</t>
  </si>
  <si>
    <t>G(enter_intersection -&gt; H[0,2](light_green = 1))</t>
  </si>
  <si>
    <t>MR-058</t>
  </si>
  <si>
    <t>NLSTL150-090</t>
  </si>
  <si>
    <t>Let the other driver go first if they seem impatient.</t>
  </si>
  <si>
    <t>If the other vehicle repeatedly honks, remain stopped until it passes.</t>
  </si>
  <si>
    <t>Impatience means repeated horn use; remain stopped until the other vehicle passes.</t>
  </si>
  <si>
    <t>Numeric: `speed`. Boolean (1=true, 0=false): `repeated_horn`, `other_vehicle_passed`. Time: follows the requirement; unbounded operators have no finite interval. Use these exact identifiers; do not create aliases.</t>
  </si>
  <si>
    <t>G(repeated_horn -&gt; ((speed = 0) U (other_vehicle_passed = 1)))</t>
  </si>
  <si>
    <t>How should 'impatient' be detected (e.g., repeated_horn = 1) and what does 'let the other driver go first' correspond to in terms of speed and other_vehicle_passed (e.g., speed &lt;= some value until other_vehicle_passed = 1)?</t>
  </si>
  <si>
    <t>What observable behaviour defines impatience, and what action counts as letting the other driver go first?</t>
  </si>
  <si>
    <t>MR-059</t>
  </si>
  <si>
    <t>G((repeated_horn = 1) -&gt; ((speed = 0) U (other_vehicle_passed = 1)))</t>
  </si>
  <si>
    <t>Should 'impatient' be defined using the repeated_horn signal (e.g., repeated_horn becomes true) as the triggering condition, and should 'let them go first' be captured by requiring speed to stay below some threshold until other_vehicle_passed becomes true — if so, what speed threshold and time bound should apply?</t>
  </si>
  <si>
    <t>MR-060</t>
  </si>
  <si>
    <t>G(repeated_horn = 1 -&gt; ((speed = 0) U (other_vehicle_passed = 1)))</t>
  </si>
  <si>
    <t>Which canonical predicates and temporal relationship should represent “the other driver seems impatient” and “let the other driver go first”?</t>
  </si>
  <si>
    <t>MR-061</t>
  </si>
  <si>
    <t>NLSTL150-091</t>
  </si>
  <si>
    <t>ClarifySTL</t>
  </si>
  <si>
    <t>During 10 to 150 seconds, if signal x1 exceeds 0.2, signal x2 will decrease for the next 30 seconds.</t>
  </si>
  <si>
    <t>During 10 to 150 seconds, whenever x1 exceeds 0.2, x2 must become lower than 0.5 within the following 30 seconds.</t>
  </si>
  <si>
    <t>Below 0.5.</t>
  </si>
  <si>
    <t>Numeric: `x1`, `x2`. Time: seconds. Use these exact identifiers; do not create aliases.</t>
  </si>
  <si>
    <t>G[10,150]((x1 &gt; 0.2) -&gt; F[0,30](x2 &lt; 0.5))</t>
  </si>
  <si>
    <t>What precisely should “x2 will decrease for the next 30 seconds” mean: strictly monotonically decreasing throughout that interval, below its value at the trigger time throughout it, or something else?</t>
  </si>
  <si>
    <t>Below what numerical value must x2 decrease?</t>
  </si>
  <si>
    <t>MR-062</t>
  </si>
  <si>
    <t>When you say signal x2 will 'decrease' for the next 30 seconds, do you mean it must fall below a specific numeric threshold, decrease by a specific amount from its value at the trigger time, or be strictly monotonically decreasing throughout that interval?</t>
  </si>
  <si>
    <t>MR-063</t>
  </si>
  <si>
    <t>G[10,150]((x1 &gt; 0.2) -&gt; G[0,30](x2 &lt; 0.5))</t>
  </si>
  <si>
    <t>What precise predicate or trend semantics should represent “x2 will decrease for the next 30 seconds” (for example, a specified threshold condition, a derivative bound, or comparison with its value at the trigger time)?</t>
  </si>
  <si>
    <t>MR-064</t>
  </si>
  <si>
    <t>NLSTL150-093</t>
  </si>
  <si>
    <t>2</t>
  </si>
  <si>
    <t>After a fault, recovery should begin soon.</t>
  </si>
  <si>
    <t>Whenever a fault occurs, recovery must begin within 5 seconds.</t>
  </si>
  <si>
    <t>Within 5 seconds.</t>
  </si>
  <si>
    <t>G(rise(fault) -&gt; F[0,5](recovery = 1))</t>
  </si>
  <si>
    <t>G(rise(fault = 1) -&gt; F[0,5](recovery = 1))</t>
  </si>
  <si>
    <t>Within how many time units after a fault (rise(fault)) must recovery become true?</t>
  </si>
  <si>
    <t>What is the maximum allowed delay before recovery begins?</t>
  </si>
  <si>
    <t>MR-065</t>
  </si>
  <si>
    <t>G(rise(fault) -&gt; F[0,5](rise(recovery)))</t>
  </si>
  <si>
    <t>What finite time interval defines “soon” after rise(fault) for rise(recovery) to occur?</t>
  </si>
  <si>
    <t>MR-066</t>
  </si>
  <si>
    <t>NLSTL150-096</t>
  </si>
  <si>
    <t>When the tank is nearly full, close the inlet shortly afterward.</t>
  </si>
  <si>
    <t>Whenever tank level exceeds 90%, close the inlet within 2 seconds.</t>
  </si>
  <si>
    <t>Nearly full means above 90%; close within 2 seconds.</t>
  </si>
  <si>
    <t>Numeric: `tank_level` [%]. Boolean (1=true, 0=false): `inlet_closed`. Time: seconds. Use these exact identifiers; do not create aliases.</t>
  </si>
  <si>
    <t>G(rise(tank_level &gt; 90) -&gt; F[0,2](inlet_closed = 1))</t>
  </si>
  <si>
    <t>G((tank_level &gt; 90) -&gt; F[0,2](inlet_closed = 1))</t>
  </si>
  <si>
    <t>What numeric threshold defines 'nearly full' for tank_level, and what is the maximum time delay (in seconds) allowed before inlet_closed must become true afterward?</t>
  </si>
  <si>
    <t>What fill level defines nearly full, and what maximum closing delay is allowed?</t>
  </si>
  <si>
    <t>MR-067</t>
  </si>
  <si>
    <t>NLSTL150-099</t>
  </si>
  <si>
    <t>If valve A opens near valve B while pump C is active, it must stop it within 2 seconds.</t>
  </si>
  <si>
    <t>If valve A opens near valve B while pump C is active, the controller must stop pump C within 2 seconds.</t>
  </si>
  <si>
    <t>The controller must stop pump C.</t>
  </si>
  <si>
    <t>Boolean (1=true, 0=false): `valve_A_open`, `near_A_B`, `pump_C`. Time: seconds. Use these exact identifiers; do not create aliases.</t>
  </si>
  <si>
    <t>G(((rise(valve_A_open = 1) &amp; (near_A_B = 1) &amp; (pump_C = 1)) -&gt; F[0,2](pump_C = 0)))</t>
  </si>
  <si>
    <t>G(((valve_A_open = 1) &amp; (near_A_B = 1) &amp; (pump_C = 1)) -&gt; F[0,2](pump_C = 0))</t>
  </si>
  <si>
    <t>When valve A opens (i.e., valve_A_open rises) while near_A_B and pump_C are true, should pump_C be required to become false within 2 seconds?</t>
  </si>
  <si>
    <t>What does the first “it” refer to, and what must be stopped?</t>
  </si>
  <si>
    <t>MR-068</t>
  </si>
  <si>
    <t>NLSTL150-100</t>
  </si>
  <si>
    <t>Every robot must visit a charging station within 60 seconds.</t>
  </si>
  <si>
    <t>Within 60 seconds, every robot must visit at least one charging station.</t>
  </si>
  <si>
    <t>Each robot may visit any charging station.</t>
  </si>
  <si>
    <t>Boolean (1=true, 0=false): `station_any_r1`, `station_any_r2`, `station_any_r3`. Time: seconds. Use these exact identifiers; do not create aliases.</t>
  </si>
  <si>
    <t>F[0,60](station_any_r1 = 1) &amp; F[0,60](station_any_r2 = 1) &amp; F[0,60](station_any_r3 = 1)</t>
  </si>
  <si>
    <t>F[0,60](station_any_r1) &amp; F[0,60](station_any_r2) &amp; F[0,60](station_any_r3)</t>
  </si>
  <si>
    <t>Which canonical signal or predicate represents each individual robot being at (or arriving at) a charging station, so that “every robot” and “visit” can be formalized?</t>
  </si>
  <si>
    <t>May each robot visit any charging station, or must each visit its assigned station?</t>
  </si>
  <si>
    <t>Clarify-inspired Anthropic; OpenAI direct</t>
  </si>
  <si>
    <t>MR-069</t>
  </si>
  <si>
    <t>NLSTL150-101</t>
  </si>
  <si>
    <t>If A or B and C, then D.</t>
  </si>
  <si>
    <t>If A holds, or both B and C hold, then D must hold.</t>
  </si>
  <si>
    <t>A OR (B AND C).</t>
  </si>
  <si>
    <t>Boolean (1=true, 0=false): `A`, `B`, `C`, `D`. Time: follows the requirement; unbounded operators have no finite interval. Use these exact identifiers; do not create aliases.</t>
  </si>
  <si>
    <t>((A = 1) | ((B = 1) &amp; (C = 1))) -&gt; (D = 1)</t>
  </si>
  <si>
    <t>G(((A = 1) | ((B = 1) &amp; (C = 1))) -&gt; (D = 1))</t>
  </si>
  <si>
    <t>Should the antecedent be grouped as `(A or B) and C` or as `A or (B and C)`?</t>
  </si>
  <si>
    <t>Should the trigger be A OR (B AND C), or (A OR B) AND C?</t>
  </si>
  <si>
    <t>MR-070</t>
  </si>
  <si>
    <t>G((A | (B &amp; C)) -&gt; D)</t>
  </si>
  <si>
    <t>Should the antecedent be grouped as A | (B &amp; C), or as (A | B) &amp; C?</t>
  </si>
  <si>
    <t>MR-071</t>
  </si>
  <si>
    <t>NLSTL150-103</t>
  </si>
  <si>
    <t>The drone should approach smoothly and remain reasonably close.</t>
  </si>
  <si>
    <t>During approach, jerk must remain below 1 m/s³ and distance must remain below 2 m.</t>
  </si>
  <si>
    <t>Jerk below 1 m/s³ and distance below 2 m.</t>
  </si>
  <si>
    <t>Numeric: `jerk` [m/s^3], `distance` [m]. Boolean (1=true, 0=false): `approach`. Semantics: `abs(x)` = absolute value. Time: follows the requirement; unbounded operators have no finite interval. Use these exact identifiers; do not create aliases.</t>
  </si>
  <si>
    <t>G((approach = 1) &amp; (abs(jerk) &lt; 1) &amp; (distance &lt; 2))</t>
  </si>
  <si>
    <t>G(approach -&gt; ((abs(jerk) &lt; 1) &amp; (distance &lt; 2)))</t>
  </si>
  <si>
    <t>What quantitative bounds define “smoothly” (e.g., a maximum absolute `jerk`) and “reasonably close” (a maximum `distance`), and must both conditions hold continuously for the entire evaluation horizon?</t>
  </si>
  <si>
    <t>What limits define smooth approach and reasonable closeness?</t>
  </si>
  <si>
    <t>MR-072</t>
  </si>
  <si>
    <t>G((approach = 1) -&gt; ((abs(jerk) &lt; 1) &amp; (distance &lt; 2)))</t>
  </si>
  <si>
    <t>What numeric thresholds should be used for 'smoothly' (e.g., a bound on jerk) and 'reasonably close' (e.g., a bound on distance), and over what time interval should these conditions hold?</t>
  </si>
  <si>
    <t>MR-073</t>
  </si>
  <si>
    <t>G((approach = 1) -&gt; (abs(jerk) &lt; 1 &amp; distance &lt; 2))</t>
  </si>
  <si>
    <t>What numeric thresholds should be used (e.g., max abs(jerk) for 'smooth' and max distance for 'reasonably close'), and over what time interval must the distance condition hold?</t>
  </si>
  <si>
    <t>MR-074</t>
  </si>
  <si>
    <t>NLSTL150-109</t>
  </si>
  <si>
    <t>Prevent battery over-discharge.</t>
  </si>
  <si>
    <t>Whenever state of charge is below 15%, disconnect the load within 1 second.</t>
  </si>
  <si>
    <t>Below 15% is over-discharge; disconnect the load within 1 second.</t>
  </si>
  <si>
    <t>Numeric: `soc` [%]. Boolean (1=true, 0=false): `load_connected`. Time: seconds. Use these exact identifiers; do not create aliases.</t>
  </si>
  <si>
    <t>G((soc &lt; 15) -&gt; F[0,1](!load_connected))</t>
  </si>
  <si>
    <t>G((soc &lt; 15) -&gt; F[0,1](load_connected = 0))</t>
  </si>
  <si>
    <t>What minimum `soc` threshold (%) must be maintained to prevent over-discharge?</t>
  </si>
  <si>
    <t>Which state-of-charge threshold defines over-discharge, and what response is required?</t>
  </si>
  <si>
    <t>MR-075</t>
  </si>
  <si>
    <t>NLSTL150-111</t>
  </si>
  <si>
    <t>Whenever A occurs, B must eventually remain true for 5 seconds within 20 seconds.</t>
  </si>
  <si>
    <t>Whenever A occurs, B must start a 5-second continuous true interval no later than 15 seconds afterward.</t>
  </si>
  <si>
    <t>Yes.</t>
  </si>
  <si>
    <t>Boolean (1=true, 0=false): `A`, `B`. Semantics: `rise(p)` = false-to-true edge. Time: seconds. Use these exact identifiers; do not create aliases.</t>
  </si>
  <si>
    <t>G(rise(A) -&gt; F[0,20](G[0,5](B)))</t>
  </si>
  <si>
    <t>G(rise(A = 1) -&gt; F[0,15](G[0,5](B = 1)))</t>
  </si>
  <si>
    <t>Does 'A occurs' refer to the rising edge rise(A) (a one-time trigger when A transitions from false to true), or should the response condition be re-evaluated at every time instant where A is true?</t>
  </si>
  <si>
    <t>Must the full 5-second persistence interval finish within 20 seconds after A?</t>
  </si>
  <si>
    <t>MR-076</t>
  </si>
  <si>
    <t>NLSTL150-115</t>
  </si>
  <si>
    <t>Switch to safe mode when the system is unstable.</t>
  </si>
  <si>
    <t>Whenever oscillation amplitude exceeds 0.5 or error growth exceeds 0.1 per second, safe mode must activate.</t>
  </si>
  <si>
    <t>Instability means oscillation_amplitude above 0.5 or error_growth above 0.1 per second.</t>
  </si>
  <si>
    <t>Numeric: `oscillation_amplitude`, `error_growth`. Boolean (1=true, 0=false): `safe_mode`. Time: seconds. Use these exact identifiers; do not create aliases.</t>
  </si>
  <si>
    <t>G((oscillation_amplitude &gt; 0.5 | error_growth &gt; 0.1) -&gt; (safe_mode = 1))</t>
  </si>
  <si>
    <t>G(((oscillation_amplitude &gt; 0.5) | (error_growth &gt; 0.1)) -&gt; (safe_mode = 1))</t>
  </si>
  <si>
    <t>What specific threshold values for oscillation_amplitude and error_growth define 'unstable', and must both conditions hold simultaneously or is either one sufficient?</t>
  </si>
  <si>
    <t>Which measurable signals define instability?</t>
  </si>
  <si>
    <t>MR-077</t>
  </si>
  <si>
    <t>NLSTL150-117</t>
  </si>
  <si>
    <t>Unless override is active, if temperature exceeds 80 or pressure exceeds 10, shut down.</t>
  </si>
  <si>
    <t>If override is inactive and either temperature exceeds 80 or pressure exceeds 10, shut down.</t>
  </si>
  <si>
    <t>It disables both triggers.</t>
  </si>
  <si>
    <t>Numeric: `temperature`, `pressure`. Boolean (1=true, 0=false): `override`, `shutdown`. Time: follows the requirement; unbounded operators have no finite interval. Use these exact identifiers; do not create aliases.</t>
  </si>
  <si>
    <t>G((!override) -&gt; ((temperature &gt; 80 | pressure &gt; 10) -&gt; shutdown))</t>
  </si>
  <si>
    <t>G((!(override = 1) &amp; ((temperature &gt; 80) | (pressure &gt; 10))) -&gt; (shutdown = 1))</t>
  </si>
  <si>
    <t>Within what time frame (if any) must the shutdown occur after temperature exceeds 80 or pressure exceeds 10 while override is inactive, or should shutdown be required to hold immediately and continuously whenever that condition is true?</t>
  </si>
  <si>
    <t>Does override disable both triggers, or only the pressure trigger?</t>
  </si>
  <si>
    <t>MR-078</t>
  </si>
  <si>
    <t>NLSTL150-118</t>
  </si>
  <si>
    <t>Remain stopped until the light turns green.</t>
  </si>
  <si>
    <t>The vehicle must remain stopped until the light turns green, and the light is required eventually to turn green.</t>
  </si>
  <si>
    <t>The light must eventually turn green.</t>
  </si>
  <si>
    <t>Numeric: `speed`. Boolean (1=true, 0=false): `light_green`. Time: follows the requirement; unbounded operators have no finite interval. Use these exact identifiers; do not create aliases.</t>
  </si>
  <si>
    <t>(speed = 0) U (light_green = 1)</t>
  </si>
  <si>
    <t>What exact speed value or threshold defines 'stopped' (e.g., speed == 0, or speed &lt; some epsilon)?</t>
  </si>
  <si>
    <t>Must the light eventually turn green, or is remaining stopped forever acceptable if it never does?</t>
  </si>
  <si>
    <t>MR-079</t>
  </si>
  <si>
    <t>NLSTL150-120</t>
  </si>
  <si>
    <t>After the object is ready, move it there soon and hold it for a while.</t>
  </si>
  <si>
    <t>Whenever the object becomes ready, move it to the inspection fixture within 5 seconds and keep it there for 10 seconds.</t>
  </si>
  <si>
    <t>The inspection fixture; move there within 5 seconds and hold it there for 10 seconds.</t>
  </si>
  <si>
    <t>Boolean (1=true, 0=false): `object_ready`, `at_inspection_fixture`. Semantics: `rise(p)` = false-to-true edge. Time: seconds. Use these exact identifiers; do not create aliases.</t>
  </si>
  <si>
    <t>G(rise(object_ready) -&gt; F[0,5](G[0,10](at_inspection_fixture)))</t>
  </si>
  <si>
    <t>G(rise(object_ready = 1) -&gt; F[0,5](G[0,10](at_inspection_fixture = 1)))</t>
  </si>
  <si>
    <t>What time bound defines “soon,” what duration defines “for a while,” and should the requirement be triggered by rise(object_ready) or by object_ready being true?</t>
  </si>
  <si>
    <t>First, what location does “there” denote? Then, what response deadline and holding duration are required?</t>
  </si>
  <si>
    <t>MR-080</t>
  </si>
  <si>
    <t>G(rise(object_ready) -&gt; F[0,5](at_inspection_fixture &amp; G[0,10](at_inspection_fixture)))</t>
  </si>
  <si>
    <t>Should the obligation start at rise(object_ready), and what exact deadline for reaching at_inspection_fixture and minimum holding duration are required?</t>
  </si>
  <si>
    <t>Clarify-inspired Anthropic; Clarify-inspired OpenAI</t>
  </si>
  <si>
    <t>MR-081</t>
  </si>
  <si>
    <t>NLSTL150-121</t>
  </si>
  <si>
    <t>Formula-first robotics</t>
  </si>
  <si>
    <t>source_formula</t>
  </si>
  <si>
    <t>At all times, the robot's measured forward velocity must differ from the commanded forward velocity by no more than 0.5.</t>
  </si>
  <si>
    <t>Numeric signals: `cmd_linear_x` [m/s] is commanded forward velocity from ROS `cmd_vel`; `robot_linear_x` [m/s] is measured forward velocity from odometry. `abs(x)` is absolute value. Use these flattened canonical identifiers, not raw ROS field paths.</t>
  </si>
  <si>
    <t>G(abs(robot_linear_x - cmd_linear_x) &lt;= 0.5)</t>
  </si>
  <si>
    <t>G(abs(cmd_linear_x - robot_linear_x) &lt;= 0.5)</t>
  </si>
  <si>
    <t>Possible absolute-difference symmetry: |a-b| = |b-a|.</t>
  </si>
  <si>
    <t>Anthropic direct; Clarify-inspired Anthropic; Clarify-inspired OpenAI; OpenAI direct</t>
  </si>
  <si>
    <t>MR-082</t>
  </si>
  <si>
    <t>NLSTL150-123</t>
  </si>
  <si>
    <t>Whenever robot 2 comes within distance d of robot 1, robot 1 must reach within d_prime of location L within T seconds.</t>
  </si>
  <si>
    <t>Objects/locations: `rob1_pos` (robot-1 position), `rob2_pos` (robot-2 position). Parameters: `d` (proximity-distance parameter), `T` (time horizon/deadline parameter), `L` (target location), `d_prime` (target-distance tolerance parameter). Semantics: `distance(a,b)` = separation distance. Time: seconds. Use these exact identifiers; do not create aliases.</t>
  </si>
  <si>
    <t>G((distance(rob2_pos,rob1_pos) &lt; d) -&gt; F[0,T](distance(rob1_pos,L) &lt; d_prime))</t>
  </si>
  <si>
    <t>G((distance(rob1_pos, rob2_pos) &lt; d) -&gt; F[0,T](distance(rob1_pos, L) &lt; d_prime))</t>
  </si>
  <si>
    <t>Possible symmetric-distance equivalence; pass only if signal_context defines distance as symmetric.</t>
  </si>
  <si>
    <t>MR-083</t>
  </si>
  <si>
    <t>G(distance(rob2_pos, rob1_pos) &lt; d -&gt; F[0,T](distance(rob1_pos, L) &lt; d_prime))</t>
  </si>
  <si>
    <t>MR-084</t>
  </si>
  <si>
    <t>NLSTL150-125</t>
  </si>
  <si>
    <t>Whenever the pilot command is at least m, the actuator position must, within T time units, become less than n away from the command and remain that accurate for t time units.</t>
  </si>
  <si>
    <t>Numeric signals/parameters: `cmd` (pilot command), `pos` (actuator position), `m` (command threshold), `n` (error tolerance), `T` (response deadline), `t` (required holding duration). `abs(x)` is absolute value. Use exact identifiers.</t>
  </si>
  <si>
    <t>G((cmd &gt;= m) -&gt; F[0,T](G[0,t](abs(pos - cmd) &lt; n)))</t>
  </si>
  <si>
    <t>G((cmd &gt;= m) -&gt; F[0,T](G[0,t](abs(cmd - pos) &lt; n)))</t>
  </si>
  <si>
    <t>MR-085</t>
  </si>
  <si>
    <t>NLSTL150-126</t>
  </si>
  <si>
    <t>During the next 10 seconds, measured angular velocity must remain within 0.2 rad/s of the commanded angular velocity.</t>
  </si>
  <si>
    <t>Numeric: `cmd_angular_z` [rad/s], `robot_angular_z` [rad/s]. Semantics: `abs(x)` = absolute value. Time: seconds. Use these exact identifiers; do not create aliases.</t>
  </si>
  <si>
    <t>G[0,10](abs(robot_angular_z - cmd_angular_z) &lt;= 0.2)</t>
  </si>
  <si>
    <t>G[0,10](abs(cmd_angular_z - robot_angular_z) &lt;= 0.2)</t>
  </si>
  <si>
    <t>MR-086</t>
  </si>
  <si>
    <t>NLSTL150-128</t>
  </si>
  <si>
    <t>All pairs of robots must remain at least d_safe apart throughout the mission.</t>
  </si>
  <si>
    <t>Objects/locations: `p_i` (position of robot i), `p_j` (position of robot j). Parameters: `d_safe` (minimum safe-distance parameter). Semantics: `distance(a,b)` = separation distance; indexed AND = conjunction over the indexed set. Time: follows the requirement; unbounded operators have no finite interval. Use these exact identifiers; do not create aliases.</t>
  </si>
  <si>
    <t>G(AND_{i,j: i &lt; j}(distance(p_i,p_j) &gt;= d_safe))</t>
  </si>
  <si>
    <t>G(AND_{i&lt;j}(distance(p_i,p_j) &gt;= d_safe))</t>
  </si>
  <si>
    <t>MR-087</t>
  </si>
  <si>
    <t>G(AND_{i,j} (distance(p_i,p_j) &gt;= d_safe))</t>
  </si>
  <si>
    <t>MR-088</t>
  </si>
  <si>
    <t>NLSTL150-129</t>
  </si>
  <si>
    <t>Robot 1 must reach region A between 10 and 20 seconds, and robot 2 must reach region B between 15 and 25 seconds.</t>
  </si>
  <si>
    <t>Boolean (1=true, 0=false): `in_A_r1`, `in_B_r2`. Time: seconds. Use these exact identifiers; do not create aliases.</t>
  </si>
  <si>
    <t>F[10,20](in_A_r1 = 1) &amp; F[15,25](in_B_r2 = 1)</t>
  </si>
  <si>
    <t>F[10,20](in_A_r1) &amp; F[15,25](in_B_r2)</t>
  </si>
  <si>
    <t>MR-089</t>
  </si>
  <si>
    <t>NLSTL150-130</t>
  </si>
  <si>
    <t>The rover must visit the sample region before visiting the communication region, both within 120 seconds.</t>
  </si>
  <si>
    <t>Boolean (1=true, 0=false): `sample_region`, `communication_region`. Time: seconds. Use these exact identifiers; do not create aliases.</t>
  </si>
  <si>
    <t>F[0,120](sample_region &amp; F(communication_region))</t>
  </si>
  <si>
    <t>F[0,120](sample_region &amp; F[0,120](communication_region))</t>
  </si>
  <si>
    <t>MR-090</t>
  </si>
  <si>
    <t>NLSTL150-131</t>
  </si>
  <si>
    <t>At every time during the first 300 seconds, some robot must visit the surveillance region within the next 30 seconds.</t>
  </si>
  <si>
    <t>Objects/locations: `robot_i` (robot indexed by i). Semantics: `OR_i` = disjunction over robots; `in_surveillance(robot_i)` = robot i is in the surveillance region. Time: seconds. Use these exact identifiers; do not create aliases.</t>
  </si>
  <si>
    <t>G[0,300](OR_i(F[0,30](in_surveillance(robot_i))))</t>
  </si>
  <si>
    <t>G[0,300](F[0,30](OR_i(in_surveillance(robot_i))))</t>
  </si>
  <si>
    <t>MR-091</t>
  </si>
  <si>
    <t>NLSTL150-132</t>
  </si>
  <si>
    <t>Keep the door open until both robots have crossed it within 40 seconds.</t>
  </si>
  <si>
    <t>Boolean (1=true, 0=false): `door_open`, `crossed_r1`, `crossed_r2`. Time: seconds. Use these exact identifiers; do not create aliases.</t>
  </si>
  <si>
    <t>(door_open = 1) U[0,40] ((crossed_r1 = 1) &amp; (crossed_r2 = 1))</t>
  </si>
  <si>
    <t>(door_open = 1) U[0,40] (crossed_r1 &amp; crossed_r2)</t>
  </si>
  <si>
    <t>MR-092</t>
  </si>
  <si>
    <t>(door_open) U[0,40] (crossed_r1 &amp; crossed_r2)</t>
  </si>
  <si>
    <t>MR-093</t>
  </si>
  <si>
    <t>NLSTL150-133</t>
  </si>
  <si>
    <t>Whenever a fire alarm event occurs, the robot must reach the exit within 20 seconds.</t>
  </si>
  <si>
    <t>Boolean (1=true, 0=false): `fire_alarm_event`, `at_exit`. Time: seconds. Use these exact identifiers; do not create aliases.</t>
  </si>
  <si>
    <t>G((fire_alarm_event -&gt; F[0,20](at_exit)))</t>
  </si>
  <si>
    <t>G(fire_alarm_event -&gt; F[0,20](at_exit = 1))</t>
  </si>
  <si>
    <t>MR-094</t>
  </si>
  <si>
    <t>G((fire_alarm_event = 1) -&gt; F[0,20](at_exit = 1))</t>
  </si>
  <si>
    <t>MR-095</t>
  </si>
  <si>
    <t>G(fire_alarm_event -&gt; F[0,20](at_exit))</t>
  </si>
  <si>
    <t>MR-096</t>
  </si>
  <si>
    <t>NLSTL150-134</t>
  </si>
  <si>
    <t>When a pickup request is received, a robot must arrive at the pickup area within 30 seconds.</t>
  </si>
  <si>
    <t>Boolean (1=true, 0=false): `pickup_request_event`, `robot_at_pickup`. Time: seconds. Use these exact identifiers; do not create aliases.</t>
  </si>
  <si>
    <t>G((pickup_request_event = 1) -&gt; F[0,30](robot_at_pickup = 1))</t>
  </si>
  <si>
    <t>G(pickup_request_event -&gt; F[0,30](robot_at_pickup = 1))</t>
  </si>
  <si>
    <t>MR-097</t>
  </si>
  <si>
    <t>G((pickup_request_event) -&gt; F[0,30](robot_at_pickup))</t>
  </si>
  <si>
    <t>MR-098</t>
  </si>
  <si>
    <t>G(pickup_request_event -&gt; F[0,30](robot_at_pickup))</t>
  </si>
  <si>
    <t>MR-099</t>
  </si>
  <si>
    <t>G(pickup_request_event = 1 -&gt; F[0,30](robot_at_pickup = 1))</t>
  </si>
  <si>
    <t>MR-100</t>
  </si>
  <si>
    <t>NLSTL150-135</t>
  </si>
  <si>
    <t>If the door-close event occurs while the robot is in the doorway, the robot must leave the doorway within 2 seconds.</t>
  </si>
  <si>
    <t>Boolean (1=true, 0=false): `door_close_event`, `in_doorway`. Time: seconds. Use these exact identifiers; do not create aliases.</t>
  </si>
  <si>
    <t>G(((door_close_event = 1) &amp; (in_doorway = 1)) -&gt; F[0,2](in_doorway = 0))</t>
  </si>
  <si>
    <t>G((door_close_event &amp; in_doorway) -&gt; F[0,2](!(in_doorway)))</t>
  </si>
  <si>
    <t>MR-101</t>
  </si>
  <si>
    <t>NLSTL150-136</t>
  </si>
  <si>
    <t>Whenever a delivery request event occurs, at least one robot must reach the delivery zone within 45 seconds.</t>
  </si>
  <si>
    <t>Boolean (1=true, 0=false): `delivery_event`. Objects/locations: `robot_i` (robot indexed by i). Semantics: `OR_i` = disjunction over robots; `in_delivery_zone(robot_i)` = robot i is in the delivery zone. Time: seconds. Use these exact identifiers; do not create aliases.</t>
  </si>
  <si>
    <t>G((delivery_event = 1) -&gt; F[0,45](OR_i(in_delivery_zone(robot_i) = 1)))</t>
  </si>
  <si>
    <t>G(delivery_event -&gt; F[0,45](OR_i(in_delivery_zone(robot_i))))</t>
  </si>
  <si>
    <t>MR-102</t>
  </si>
  <si>
    <t>NLSTL150-137</t>
  </si>
  <si>
    <t>After a guard event begins, the robot must remain in the guard region until a release event occurs within 120 seconds.</t>
  </si>
  <si>
    <t>Boolean (1=true, 0=false): `guard_event`, `in_guard_region`, `release_event`. Time: seconds. Use these exact identifiers; do not create aliases.</t>
  </si>
  <si>
    <t>G(guard_event -&gt; (in_guard_region U[0,120] release_event))</t>
  </si>
  <si>
    <t>G(guard_event -&gt; ((in_guard_region = 1) U[0,120] release_event))</t>
  </si>
  <si>
    <t>MR-103</t>
  </si>
  <si>
    <t>NLSTL150-138</t>
  </si>
  <si>
    <t>When the inspection event occurs, robot 1 must reach region A within 20 seconds and robot 2 must reach region B within 25 seconds.</t>
  </si>
  <si>
    <t>Boolean (1=true, 0=false): `inspection_event`, `in_A_r1`, `in_B_r2`. Time: seconds. Use these exact identifiers; do not create aliases.</t>
  </si>
  <si>
    <t>G((inspection_event = 1) -&gt; (F[0,20](in_A_r1 = 1) &amp; F[0,25](in_B_r2 = 1)))</t>
  </si>
  <si>
    <t>G(inspection_event -&gt; (F[0,20](in_A_r1) &amp; F[0,25](in_B_r2)))</t>
  </si>
  <si>
    <t>MR-104</t>
  </si>
  <si>
    <t>NLSTL150-140</t>
  </si>
  <si>
    <t>For the next H seconds, lateral position must remain between the left and right lane boundaries.</t>
  </si>
  <si>
    <t>Numeric: `y`. Parameters: `H` (prediction-horizon duration), `lane_left_bound` (left lane-position boundary), `lane_right_bound` (right lane-position boundary). Time: seconds. Use these exact identifiers; do not create aliases.</t>
  </si>
  <si>
    <t>G[0,H](y &lt;= lane_left_bound &amp; y &gt;= lane_right_bound)</t>
  </si>
  <si>
    <t>G[0,H]((y &gt;= lane_left_bound) &amp; (y &lt;= lane_right_bound))</t>
  </si>
  <si>
    <t>MR-105</t>
  </si>
  <si>
    <t>NLSTL150-144</t>
  </si>
  <si>
    <t>Reach the destination within 30 seconds while staying in the lane and maintaining at least 2 metres from obstacles.</t>
  </si>
  <si>
    <t>Numeric: `obstacle_distance` [m]. Boolean (1=true, 0=false): `destination`, `in_lane`. Time: seconds. Use these exact identifiers; do not create aliases.</t>
  </si>
  <si>
    <t>F[0,30](destination = 1) &amp; G[0,30](in_lane = 1 &amp; obstacle_distance &gt;= 2)</t>
  </si>
  <si>
    <t>F[0,30](destination = 1) &amp; G[0,30](in_lane = 1) &amp; G[0,30](obstacle_distance &gt;= 2)</t>
  </si>
  <si>
    <t>MR-106</t>
  </si>
  <si>
    <t>G[0,30]((in_lane = 1 &amp; obstacle_distance &gt;= 2)) &amp; F[0,30](destination = 1)</t>
  </si>
  <si>
    <t>MR-107</t>
  </si>
  <si>
    <t>NLSTL150-145</t>
  </si>
  <si>
    <t>Pass through region A between 2 and 4 seconds and avoid region B from 2 through 8 seconds.</t>
  </si>
  <si>
    <t>Boolean (1=true, 0=false): `in_A`, `in_B`. Time: seconds. Use these exact identifiers; do not create aliases.</t>
  </si>
  <si>
    <t>F[2,4](in_A = 1) &amp; G[2,8](!(in_B = 1))</t>
  </si>
  <si>
    <t>F[2,4](in_A) &amp; G[2,8](!(in_B))</t>
  </si>
  <si>
    <t>MR-108</t>
  </si>
  <si>
    <t>NLSTL150-149</t>
  </si>
  <si>
    <t>During insertion, contact force must remain below 20 newtons.</t>
  </si>
  <si>
    <t>Numeric: `contact_force` [N]. Boolean (1=true, 0=false): `insertion_phase`. Time: follows the requirement; unbounded operators have no finite interval. Use these exact identifiers; do not create aliases.</t>
  </si>
  <si>
    <t>G((insertion_phase = 1) -&gt; (contact_force &lt; 20))</t>
  </si>
  <si>
    <t>G(insertion_phase -&gt; (contact_force &lt; 20))</t>
  </si>
  <si>
    <t>MR-109</t>
  </si>
  <si>
    <t>NLSTL150-150</t>
  </si>
  <si>
    <t>Place the object in the target region within 15 seconds while the end effector always avoids the forbidden region.</t>
  </si>
  <si>
    <t>Boolean (1=true, 0=false): `object_in_target`, `end_effector_in_forbidden`. Time: seconds. Use these exact identifiers; do not create aliases.</t>
  </si>
  <si>
    <t>F[0,15](object_in_target = 1) &amp; G(end_effector_in_forbidden = 0)</t>
  </si>
  <si>
    <t>F[0,15](object_in_target = 1) &amp; G(!(end_effector_in_forbidden = 1))</t>
  </si>
  <si>
    <t>MR-110</t>
  </si>
  <si>
    <t>F[0,15](object_in_target) &amp; G(!(end_effector_in_forbidden))</t>
  </si>
  <si>
    <t>condition</t>
  </si>
  <si>
    <t>provider</t>
  </si>
  <si>
    <t>model</t>
  </si>
  <si>
    <t>run_index</t>
  </si>
  <si>
    <t>anthropic</t>
  </si>
  <si>
    <t>claude-sonnet-5</t>
  </si>
  <si>
    <t>0</t>
  </si>
  <si>
    <t>openai</t>
  </si>
  <si>
    <t>gpt-5.6-terra</t>
  </si>
  <si>
    <t>clarify</t>
  </si>
  <si>
    <t>clarifystl-inspired-openai-v1</t>
  </si>
  <si>
    <t>clarifystl-inspired-anthropic-v1</t>
  </si>
  <si>
    <t>Does “within 20 seconds” define the window in which A may rise, or must B remain below 3 for 20 seconds after each rise of A?</t>
  </si>
  <si>
    <t>After signal A rises, must signal B remain continuously below 3 for the full 20 seconds, or is it sufficient for B to drop below 3 at some point within that 20-second window?</t>
  </si>
  <si>
    <t>What finite time bound defines “soon,” and should each rise(request) trigger the obligation?</t>
  </si>
  <si>
    <t>What numeric thresholds define a 'safe gap' for front_gap and rear_gap (e.g., front_gap &gt;= ? and rear_gap &gt;= ?), and should 'merge' be interpreted as merge_started becoming true (rise(merge_started)) triggered by that safe-gap condition?</t>
  </si>
  <si>
    <t>What is the specific time bound (interval [a,b]) that defines "soon" for recovery to begin after a fault?</t>
  </si>
  <si>
    <t>What maximum time after rise(fault) must rise(recovery) occur?</t>
  </si>
  <si>
    <t>Should the 60-second charging-station visit requirement apply only once starting at time 0, or must each robot visit a charging station within every recurring 60-second window throughout the trace?</t>
  </si>
  <si>
    <t>Does 'A or B and C' mean (A | B) &amp; C, or A | (B &amp; C)? Please clarify the intended Boolean grouping for the antecedent.</t>
  </si>
  <si>
    <t>What are the exact time bounds (e.g., numeric interval [a,b]) for 'soon' (the deadline to reach at_inspection_fixture after object_ready rises) and for 'for a while' (the duration the object must remain at_inspection_fixture)?</t>
  </si>
  <si>
    <t>What are the exact numeric time bounds: within how many seconds after object_ready must at_inspection_fixture become true, and for how many seconds must it then remain true?</t>
  </si>
  <si>
    <t>n</t>
  </si>
  <si>
    <t>api_success_rate</t>
  </si>
  <si>
    <t>strict_action_accuracy</t>
  </si>
  <si>
    <t>acceptable_action_accuracy</t>
  </si>
  <si>
    <t>formula_present_rate</t>
  </si>
  <si>
    <t>formula_parse_rate</t>
  </si>
  <si>
    <t>canonical_exact_match_rate</t>
  </si>
  <si>
    <t>mean_ast_f1</t>
  </si>
  <si>
    <t>mean_operator_f1</t>
  </si>
  <si>
    <t>mean_identifier_f1</t>
  </si>
  <si>
    <t>mean_constant_f1</t>
  </si>
  <si>
    <t>mean_clarification_slot_f1</t>
  </si>
  <si>
    <t>automatic_pass</t>
  </si>
  <si>
    <t>automatic_fail</t>
  </si>
  <si>
    <t>manual_review</t>
  </si>
  <si>
    <t>automatic_pass_rate</t>
  </si>
  <si>
    <t>automatic_fail_rate</t>
  </si>
  <si>
    <t>manual_review_rate</t>
  </si>
  <si>
    <t>confirmed_accuracy_lower_bound</t>
  </si>
  <si>
    <t>accuracy_upper_bound_before_review</t>
  </si>
  <si>
    <t>mean_latency_seconds</t>
  </si>
  <si>
    <t>median_latency_seconds</t>
  </si>
  <si>
    <t>p90_latency_seconds</t>
  </si>
  <si>
    <t>p95_latency_seconds</t>
  </si>
  <si>
    <t>median_first_stage_seconds</t>
  </si>
  <si>
    <t>median_refinement_seconds</t>
  </si>
  <si>
    <t>median_translate_latency_seconds</t>
  </si>
  <si>
    <t>median_clarification_latency_seconds</t>
  </si>
  <si>
    <t>mean_input_tokens</t>
  </si>
  <si>
    <t>mean_output_tokens</t>
  </si>
  <si>
    <t>wall_seconds</t>
  </si>
  <si>
    <t>wall_minutes</t>
  </si>
  <si>
    <t>throughput_samples_per_minute</t>
  </si>
  <si>
    <t>completed_within_2s</t>
  </si>
  <si>
    <t>completed_within_5s</t>
  </si>
  <si>
    <t>completed_within_10s</t>
  </si>
  <si>
    <t>completed_within_30s</t>
  </si>
  <si>
    <t>150</t>
  </si>
  <si>
    <t>1.0</t>
  </si>
  <si>
    <t>0.7133333333333334</t>
  </si>
  <si>
    <t>0.7533333333333333</t>
  </si>
  <si>
    <t>0.6533333333333333</t>
  </si>
  <si>
    <t>0.9897959183673469</t>
  </si>
  <si>
    <t>0.5612244897959183</t>
  </si>
  <si>
    <t>0.929707381417019</t>
  </si>
  <si>
    <t>0.9077649874819269</t>
  </si>
  <si>
    <t>0.9843537414965987</t>
  </si>
  <si>
    <t>0.8987259622463705</t>
  </si>
  <si>
    <t>0.5603378103378103</t>
  </si>
  <si>
    <t>64</t>
  </si>
  <si>
    <t>44</t>
  </si>
  <si>
    <t>42</t>
  </si>
  <si>
    <t>0.4266666666666667</t>
  </si>
  <si>
    <t>0.29333333333333333</t>
  </si>
  <si>
    <t>0.28</t>
  </si>
  <si>
    <t>0.7066666666666667</t>
  </si>
  <si>
    <t>2.752406985272925</t>
  </si>
  <si>
    <t>2.2794854789972305</t>
  </si>
  <si>
    <t>4.334413449413841</t>
  </si>
  <si>
    <t>5.410942206243627</t>
  </si>
  <si>
    <t>1.8450502085033804</t>
  </si>
  <si>
    <t>1.8431777919759043</t>
  </si>
  <si>
    <t>1.9304466875037178</t>
  </si>
  <si>
    <t>3.5835858329955954</t>
  </si>
  <si>
    <t>905.2866666666666</t>
  </si>
  <si>
    <t>177.6</t>
  </si>
  <si>
    <t>413.0</t>
  </si>
  <si>
    <t>6.883333333333334</t>
  </si>
  <si>
    <t>21.791767554479417</t>
  </si>
  <si>
    <t>0.42</t>
  </si>
  <si>
    <t>0.94</t>
  </si>
  <si>
    <t>0.9933333333333333</t>
  </si>
  <si>
    <t>0.86</t>
  </si>
  <si>
    <t>0.8666666666666667</t>
  </si>
  <si>
    <t>0.8333333333333334</t>
  </si>
  <si>
    <t>0.544</t>
  </si>
  <si>
    <t>0.9276629826538265</t>
  </si>
  <si>
    <t>0.907144432066042</t>
  </si>
  <si>
    <t>0.9967999999999999</t>
  </si>
  <si>
    <t>0.877247619047619</t>
  </si>
  <si>
    <t>0.46406186406186406</t>
  </si>
  <si>
    <t>75</t>
  </si>
  <si>
    <t>22</t>
  </si>
  <si>
    <t>53</t>
  </si>
  <si>
    <t>0.5</t>
  </si>
  <si>
    <t>0.14666666666666667</t>
  </si>
  <si>
    <t>0.35333333333333333</t>
  </si>
  <si>
    <t>0.8533333333333334</t>
  </si>
  <si>
    <t>5.799995643399889</t>
  </si>
  <si>
    <t>4.676423562486889</t>
  </si>
  <si>
    <t>9.312914787480256</t>
  </si>
  <si>
    <t>9.979754839961242</t>
  </si>
  <si>
    <t>4.093192687505507</t>
  </si>
  <si>
    <t>3.0357404589885846</t>
  </si>
  <si>
    <t>4.123907646498992</t>
  </si>
  <si>
    <t>6.758014499995625</t>
  </si>
  <si>
    <t>1815.6333333333334</t>
  </si>
  <si>
    <t>288.06</t>
  </si>
  <si>
    <t>871.0</t>
  </si>
  <si>
    <t>14.516666666666667</t>
  </si>
  <si>
    <t>10.332950631458093</t>
  </si>
  <si>
    <t>0.0</t>
  </si>
  <si>
    <t>0.52</t>
  </si>
  <si>
    <t>0.9466666666666667</t>
  </si>
  <si>
    <t>0.5666666666666667</t>
  </si>
  <si>
    <t>0.6466666666666666</t>
  </si>
  <si>
    <t>0.46</t>
  </si>
  <si>
    <t>0.9705882352941176</t>
  </si>
  <si>
    <t>0.6029411764705882</t>
  </si>
  <si>
    <t>0.9224857863183866</t>
  </si>
  <si>
    <t>0.907444857142089</t>
  </si>
  <si>
    <t>0.9647058823529411</t>
  </si>
  <si>
    <t>0.8933298319327732</t>
  </si>
  <si>
    <t>0.5381766381766382</t>
  </si>
  <si>
    <t>49</t>
  </si>
  <si>
    <t>26</t>
  </si>
  <si>
    <t>0.32666666666666666</t>
  </si>
  <si>
    <t>0.17333333333333334</t>
  </si>
  <si>
    <t>8.170761324761552</t>
  </si>
  <si>
    <t>6.923785958497319</t>
  </si>
  <si>
    <t>13.793587675312297</t>
  </si>
  <si>
    <t>16.072833243898636</t>
  </si>
  <si>
    <t>5.5948060204827925</t>
  </si>
  <si>
    <t>7.858551582990913</t>
  </si>
  <si>
    <t>6.100377437513089</t>
  </si>
  <si>
    <t>12.771782416995848</t>
  </si>
  <si>
    <t>1226.0</t>
  </si>
  <si>
    <t>20.433333333333334</t>
  </si>
  <si>
    <t>7.3409461663947795</t>
  </si>
  <si>
    <t>0.18666666666666668</t>
  </si>
  <si>
    <t>0.74</t>
  </si>
  <si>
    <t>0.98</t>
  </si>
  <si>
    <t>0.5266666666666666</t>
  </si>
  <si>
    <t>0.6066666666666667</t>
  </si>
  <si>
    <t>0.4533333333333333</t>
  </si>
  <si>
    <t>0.9577844139524361</t>
  </si>
  <si>
    <t>0.9453441166676461</t>
  </si>
  <si>
    <t>0.9970588235294118</t>
  </si>
  <si>
    <t>0.9327306680247857</t>
  </si>
  <si>
    <t>0.6347953216374269</t>
  </si>
  <si>
    <t>71</t>
  </si>
  <si>
    <t>30</t>
  </si>
  <si>
    <t>0.47333333333333333</t>
  </si>
  <si>
    <t>0.2</t>
  </si>
  <si>
    <t>16.602874597758635</t>
  </si>
  <si>
    <t>13.934560937501374</t>
  </si>
  <si>
    <t>27.837907137212458</t>
  </si>
  <si>
    <t>32.69026204199181</t>
  </si>
  <si>
    <t>9.701664624997647</t>
  </si>
  <si>
    <t>17.123981709009968</t>
  </si>
  <si>
    <t>11.675592041996424</t>
  </si>
  <si>
    <t>26.64893470800598</t>
  </si>
  <si>
    <t>3537.0</t>
  </si>
  <si>
    <t>58.95</t>
  </si>
  <si>
    <t>2.544529262086514</t>
  </si>
  <si>
    <t>0.02</t>
  </si>
  <si>
    <t>0.3</t>
  </si>
  <si>
    <t>0.9066666666666666</t>
  </si>
  <si>
    <t>boolean_shorthand_equivalent</t>
  </si>
  <si>
    <t>algebraic_symmetry_equivalent</t>
  </si>
  <si>
    <t>inverted inequalities</t>
  </si>
  <si>
    <t>question about the brackets</t>
  </si>
  <si>
    <t>Or_i and F(0,30) switched; not equivalent?</t>
  </si>
  <si>
    <t xml:space="preserve">not equivalent, second F operator has time dependency </t>
  </si>
  <si>
    <t>not i&lt;j but i,j; not equivalent</t>
  </si>
  <si>
    <t xml:space="preserve">distance operator switched components; is it even possible for the distance not to be symmetric? </t>
  </si>
  <si>
    <t>see below</t>
  </si>
  <si>
    <t xml:space="preserve">not sure here </t>
  </si>
  <si>
    <t xml:space="preserve">formula equivalence but not question; does it have to be? </t>
  </si>
  <si>
    <t>alternative_valid_formula</t>
  </si>
  <si>
    <t>not exact question</t>
  </si>
  <si>
    <t>not equivalent?</t>
  </si>
  <si>
    <t>wrong output at end</t>
  </si>
  <si>
    <t>eventuality added where not required</t>
  </si>
  <si>
    <t>question equivalence</t>
  </si>
  <si>
    <t>rise functions missing</t>
  </si>
  <si>
    <t>F operator instead of U operator</t>
  </si>
  <si>
    <t>think the AI wrote the abs. value definition</t>
  </si>
  <si>
    <t>stricter decision (rise instead of just true)</t>
  </si>
  <si>
    <t>stricter, uses rise when not required</t>
  </si>
  <si>
    <t>question equivalent</t>
  </si>
  <si>
    <t>???</t>
  </si>
  <si>
    <t>not sure this is equivalent</t>
  </si>
  <si>
    <t>not equivalent</t>
  </si>
  <si>
    <t>always operator is missing time frame</t>
  </si>
  <si>
    <t>wrong way around</t>
  </si>
  <si>
    <t>&lt; as opposed to &lt;=</t>
  </si>
  <si>
    <t>does not consider abs value</t>
  </si>
  <si>
    <t>same question</t>
  </si>
  <si>
    <t>same question, signal context declared</t>
  </si>
  <si>
    <t>F instead of G used</t>
  </si>
  <si>
    <t>predicted stricter with rise operator</t>
  </si>
  <si>
    <t>prediction stricter, using rise</t>
  </si>
  <si>
    <t>prediction stricter using rise</t>
  </si>
  <si>
    <t>G operator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</si>
</sst>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6"/>
      <color rgb="FFFFFFFF"/>
      <name val="Carlito"/>
    </font>
    <font>
      <b/>
      <sz val="11"/>
      <color rgb="FF1F1F1F"/>
      <name val="Carlito"/>
    </font>
    <font>
      <b/>
      <sz val="11"/>
      <color rgb="FFFFFFFF"/>
      <name val="Carlito"/>
    </font>
    <font>
      <sz val="11"/>
      <color rgb="FF000000"/>
      <name val="Carlito"/>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5B6573"/>
      </patternFill>
    </fill>
  </fills>
  <borders count="1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44B3E1"/>
      </top>
      <bottom style="thin">
        <color rgb="FF44B3E1"/>
      </bottom>
      <diagonal/>
    </border>
  </borders>
  <cellStyleXfs count="1">
    <xf numFmtId="0" fontId="0" fillId="0" borderId="0"/>
  </cellStyleXfs>
  <cellXfs count="20">
    <xf numFmtId="0" fontId="0" fillId="0" borderId="0" xfId="0"/>
    <xf numFmtId="0" fontId="0" fillId="0" borderId="0" xfId="0" applyAlignment="1">
      <alignment wrapText="1"/>
    </xf>
    <xf numFmtId="0" fontId="2" fillId="3" borderId="3" xfId="0" applyFont="1" applyFill="1" applyBorder="1" applyAlignment="1">
      <alignment vertical="top"/>
    </xf>
    <xf numFmtId="0" fontId="0" fillId="0" borderId="4" xfId="0" applyBorder="1" applyAlignment="1">
      <alignment wrapText="1"/>
    </xf>
    <xf numFmtId="0" fontId="2" fillId="3" borderId="5" xfId="0" applyFont="1" applyFill="1" applyBorder="1" applyAlignment="1">
      <alignment vertical="top"/>
    </xf>
    <xf numFmtId="0" fontId="0" fillId="0" borderId="6" xfId="0" applyBorder="1" applyAlignment="1">
      <alignment wrapText="1"/>
    </xf>
    <xf numFmtId="0" fontId="3" fillId="2" borderId="0" xfId="0" applyFont="1" applyFill="1" applyAlignment="1">
      <alignment wrapText="1"/>
    </xf>
    <xf numFmtId="0" fontId="0" fillId="0" borderId="0" xfId="0" applyAlignment="1">
      <alignment vertical="top"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3" fillId="4" borderId="0" xfId="0" applyFont="1" applyFill="1" applyAlignment="1">
      <alignment horizont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4" fillId="0" borderId="15" xfId="0" applyFont="1" applyBorder="1" applyAlignment="1">
      <alignment vertical="top" wrapText="1"/>
    </xf>
  </cellXfs>
  <cellStyles count="1">
    <cellStyle name="Normal" xfId="0" builtinId="0"/>
  </cellStyles>
  <dxfs count="5">
    <dxf>
      <fill>
        <patternFill patternType="solid">
          <bgColor rgb="FFFFF2CC"/>
        </patternFill>
      </fill>
    </dxf>
    <dxf>
      <font>
        <b/>
      </font>
      <fill>
        <patternFill patternType="solid">
          <bgColor rgb="FFF8CBAD"/>
        </patternFill>
      </fill>
    </dxf>
    <dxf>
      <fill>
        <patternFill patternType="solid">
          <bgColor rgb="FFFFF2CC"/>
        </patternFill>
      </fill>
    </dxf>
    <dxf>
      <fill>
        <patternFill patternType="solid">
          <bgColor rgb="FFFADBD8"/>
        </patternFill>
      </fill>
    </dxf>
    <dxf>
      <fill>
        <patternFill patternType="solid">
          <bgColor rgb="FFDFF2D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nualReviewTable" displayName="ManualReviewTable" ref="A1:AD111">
  <tableColumns count="30">
    <tableColumn id="1" xr3:uid="{00000000-0010-0000-0000-000001000000}" name="review_id"/>
    <tableColumn id="2" xr3:uid="{00000000-0010-0000-0000-000002000000}" name="sample_id"/>
    <tableColumn id="3" xr3:uid="{00000000-0010-0000-0000-000003000000}" name="target_paper"/>
    <tableColumn id="4" xr3:uid="{00000000-0010-0000-0000-000004000000}" name="case_type"/>
    <tableColumn id="5" xr3:uid="{00000000-0010-0000-0000-000005000000}" name="task_mode"/>
    <tableColumn id="6" xr3:uid="{00000000-0010-0000-0000-000006000000}" name="difficulty"/>
    <tableColumn id="7" xr3:uid="{00000000-0010-0000-0000-000007000000}" name="review_reason"/>
    <tableColumn id="8" xr3:uid="{00000000-0010-0000-0000-000008000000}" name="requirement_nl"/>
    <tableColumn id="9" xr3:uid="{00000000-0010-0000-0000-000009000000}" name="clarified_requirement"/>
    <tableColumn id="10" xr3:uid="{00000000-0010-0000-0000-00000A000000}" name="oracle_answer"/>
    <tableColumn id="11" xr3:uid="{00000000-0010-0000-0000-00000B000000}" name="signal_context"/>
    <tableColumn id="12" xr3:uid="{00000000-0010-0000-0000-00000C000000}" name="predicted_formula"/>
    <tableColumn id="13" xr3:uid="{00000000-0010-0000-0000-00000D000000}" name="gold_formula"/>
    <tableColumn id="14" xr3:uid="{00000000-0010-0000-0000-00000E000000}" name="alternative_gold_stl"/>
    <tableColumn id="15" xr3:uid="{00000000-0010-0000-0000-00000F000000}" name="predicted_question"/>
    <tableColumn id="16" xr3:uid="{00000000-0010-0000-0000-000010000000}" name="gold_clarification_question"/>
    <tableColumn id="17" xr3:uid="{00000000-0010-0000-0000-000011000000}" name="equivalence_hint"/>
    <tableColumn id="18" xr3:uid="{00000000-0010-0000-0000-000012000000}" name="affected_condition_count"/>
    <tableColumn id="19" xr3:uid="{00000000-0010-0000-0000-000013000000}" name="affected_conditions"/>
    <tableColumn id="20" xr3:uid="{00000000-0010-0000-0000-000014000000}" name="reviewer_1_decision"/>
    <tableColumn id="21" xr3:uid="{00000000-0010-0000-0000-000015000000}" name="reviewer_1_error_category"/>
    <tableColumn id="22" xr3:uid="{00000000-0010-0000-0000-000016000000}" name="reviewer_1_notes"/>
    <tableColumn id="23" xr3:uid="{00000000-0010-0000-0000-000017000000}" name="reviewer_2_decision"/>
    <tableColumn id="24" xr3:uid="{00000000-0010-0000-0000-000018000000}" name="reviewer_2_error_category"/>
    <tableColumn id="25" xr3:uid="{00000000-0010-0000-0000-000019000000}" name="reviewer_2_notes"/>
    <tableColumn id="26" xr3:uid="{00000000-0010-0000-0000-00001A000000}" name="final_decision"/>
    <tableColumn id="27" xr3:uid="{00000000-0010-0000-0000-00001B000000}" name="final_error_category"/>
    <tableColumn id="28" xr3:uid="{00000000-0010-0000-0000-00001C000000}" name="final_notes"/>
    <tableColumn id="29" xr3:uid="{00000000-0010-0000-0000-00001D000000}" name="reviewer_disagreement"/>
    <tableColumn id="30" xr3:uid="{00000000-0010-0000-0000-00001E000000}" name="resolv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viewMappingTable" displayName="ReviewMappingTable" ref="A1:J152">
  <tableColumns count="10">
    <tableColumn id="1" xr3:uid="{00000000-0010-0000-0100-000001000000}" name="review_id"/>
    <tableColumn id="2" xr3:uid="{00000000-0010-0000-0100-000002000000}" name="condition"/>
    <tableColumn id="3" xr3:uid="{00000000-0010-0000-0100-000003000000}" name="provider"/>
    <tableColumn id="4" xr3:uid="{00000000-0010-0000-0100-000004000000}" name="model"/>
    <tableColumn id="5" xr3:uid="{00000000-0010-0000-0100-000005000000}" name="sample_id"/>
    <tableColumn id="6" xr3:uid="{00000000-0010-0000-0100-000006000000}" name="run_index"/>
    <tableColumn id="7" xr3:uid="{00000000-0010-0000-0100-000007000000}" name="review_reason"/>
    <tableColumn id="8" xr3:uid="{00000000-0010-0000-0100-000008000000}" name="predicted_formula"/>
    <tableColumn id="9" xr3:uid="{00000000-0010-0000-0100-000009000000}" name="gold_formula"/>
    <tableColumn id="10" xr3:uid="{00000000-0010-0000-0100-00000A000000}" name="predicted_ques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rtingMetricsTable" displayName="StartingMetricsTable" ref="A1:AL5">
  <tableColumns count="38">
    <tableColumn id="1" xr3:uid="{00000000-0010-0000-0200-000001000000}" name="condition"/>
    <tableColumn id="2" xr3:uid="{00000000-0010-0000-0200-000002000000}" name="n"/>
    <tableColumn id="3" xr3:uid="{00000000-0010-0000-0200-000003000000}" name="api_success_rate"/>
    <tableColumn id="4" xr3:uid="{00000000-0010-0000-0200-000004000000}" name="strict_action_accuracy"/>
    <tableColumn id="5" xr3:uid="{00000000-0010-0000-0200-000005000000}" name="acceptable_action_accuracy"/>
    <tableColumn id="6" xr3:uid="{00000000-0010-0000-0200-000006000000}" name="formula_present_rate"/>
    <tableColumn id="7" xr3:uid="{00000000-0010-0000-0200-000007000000}" name="formula_parse_rate"/>
    <tableColumn id="8" xr3:uid="{00000000-0010-0000-0200-000008000000}" name="canonical_exact_match_rate"/>
    <tableColumn id="9" xr3:uid="{00000000-0010-0000-0200-000009000000}" name="mean_ast_f1"/>
    <tableColumn id="10" xr3:uid="{00000000-0010-0000-0200-00000A000000}" name="mean_operator_f1"/>
    <tableColumn id="11" xr3:uid="{00000000-0010-0000-0200-00000B000000}" name="mean_identifier_f1"/>
    <tableColumn id="12" xr3:uid="{00000000-0010-0000-0200-00000C000000}" name="mean_constant_f1"/>
    <tableColumn id="13" xr3:uid="{00000000-0010-0000-0200-00000D000000}" name="mean_clarification_slot_f1"/>
    <tableColumn id="14" xr3:uid="{00000000-0010-0000-0200-00000E000000}" name="automatic_pass"/>
    <tableColumn id="15" xr3:uid="{00000000-0010-0000-0200-00000F000000}" name="automatic_fail"/>
    <tableColumn id="16" xr3:uid="{00000000-0010-0000-0200-000010000000}" name="manual_review"/>
    <tableColumn id="17" xr3:uid="{00000000-0010-0000-0200-000011000000}" name="automatic_pass_rate"/>
    <tableColumn id="18" xr3:uid="{00000000-0010-0000-0200-000012000000}" name="automatic_fail_rate"/>
    <tableColumn id="19" xr3:uid="{00000000-0010-0000-0200-000013000000}" name="manual_review_rate"/>
    <tableColumn id="20" xr3:uid="{00000000-0010-0000-0200-000014000000}" name="confirmed_accuracy_lower_bound"/>
    <tableColumn id="21" xr3:uid="{00000000-0010-0000-0200-000015000000}" name="accuracy_upper_bound_before_review"/>
    <tableColumn id="22" xr3:uid="{00000000-0010-0000-0200-000016000000}" name="mean_latency_seconds"/>
    <tableColumn id="23" xr3:uid="{00000000-0010-0000-0200-000017000000}" name="median_latency_seconds"/>
    <tableColumn id="24" xr3:uid="{00000000-0010-0000-0200-000018000000}" name="p90_latency_seconds"/>
    <tableColumn id="25" xr3:uid="{00000000-0010-0000-0200-000019000000}" name="p95_latency_seconds"/>
    <tableColumn id="26" xr3:uid="{00000000-0010-0000-0200-00001A000000}" name="median_first_stage_seconds"/>
    <tableColumn id="27" xr3:uid="{00000000-0010-0000-0200-00001B000000}" name="median_refinement_seconds"/>
    <tableColumn id="28" xr3:uid="{00000000-0010-0000-0200-00001C000000}" name="median_translate_latency_seconds"/>
    <tableColumn id="29" xr3:uid="{00000000-0010-0000-0200-00001D000000}" name="median_clarification_latency_seconds"/>
    <tableColumn id="30" xr3:uid="{00000000-0010-0000-0200-00001E000000}" name="mean_input_tokens"/>
    <tableColumn id="31" xr3:uid="{00000000-0010-0000-0200-00001F000000}" name="mean_output_tokens"/>
    <tableColumn id="32" xr3:uid="{00000000-0010-0000-0200-000020000000}" name="wall_seconds"/>
    <tableColumn id="33" xr3:uid="{00000000-0010-0000-0200-000021000000}" name="wall_minutes"/>
    <tableColumn id="34" xr3:uid="{00000000-0010-0000-0200-000022000000}" name="throughput_samples_per_minute"/>
    <tableColumn id="35" xr3:uid="{00000000-0010-0000-0200-000023000000}" name="completed_within_2s"/>
    <tableColumn id="36" xr3:uid="{00000000-0010-0000-0200-000024000000}" name="completed_within_5s"/>
    <tableColumn id="37" xr3:uid="{00000000-0010-0000-0200-000025000000}" name="completed_within_10s"/>
    <tableColumn id="38" xr3:uid="{00000000-0010-0000-0200-000026000000}" name="completed_within_30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election sqref="A1:B1"/>
    </sheetView>
  </sheetViews>
  <sheetFormatPr baseColWidth="10" defaultColWidth="8.83203125" defaultRowHeight="14"/>
  <cols>
    <col min="1" max="1" width="24" customWidth="1"/>
    <col min="2" max="2" width="95" customWidth="1"/>
  </cols>
  <sheetData>
    <row r="1" spans="1:2" ht="32" customHeight="1">
      <c r="A1" s="17" t="s">
        <v>0</v>
      </c>
      <c r="B1" s="18"/>
    </row>
    <row r="2" spans="1:2" ht="32" customHeight="1">
      <c r="A2" s="2" t="s">
        <v>1</v>
      </c>
      <c r="B2" s="3" t="s">
        <v>2</v>
      </c>
    </row>
    <row r="3" spans="1:2" ht="32" customHeight="1">
      <c r="A3" s="2" t="s">
        <v>3</v>
      </c>
      <c r="B3" s="3" t="s">
        <v>4</v>
      </c>
    </row>
    <row r="4" spans="1:2" ht="32" customHeight="1">
      <c r="A4" s="2" t="s">
        <v>5</v>
      </c>
      <c r="B4" s="3" t="s">
        <v>6</v>
      </c>
    </row>
    <row r="5" spans="1:2" ht="32" customHeight="1">
      <c r="A5" s="2" t="s">
        <v>7</v>
      </c>
      <c r="B5" s="3" t="s">
        <v>8</v>
      </c>
    </row>
    <row r="6" spans="1:2" ht="32" customHeight="1">
      <c r="A6" s="2" t="s">
        <v>9</v>
      </c>
      <c r="B6" s="3" t="s">
        <v>10</v>
      </c>
    </row>
    <row r="7" spans="1:2" ht="32" customHeight="1">
      <c r="A7" s="2" t="s">
        <v>11</v>
      </c>
      <c r="B7" s="3" t="s">
        <v>12</v>
      </c>
    </row>
    <row r="8" spans="1:2" ht="32" customHeight="1">
      <c r="A8" s="2" t="s">
        <v>13</v>
      </c>
      <c r="B8" s="3" t="s">
        <v>14</v>
      </c>
    </row>
    <row r="9" spans="1:2" ht="32" customHeight="1">
      <c r="A9" s="2" t="s">
        <v>15</v>
      </c>
      <c r="B9" s="3" t="s">
        <v>16</v>
      </c>
    </row>
    <row r="10" spans="1:2" ht="32" customHeight="1">
      <c r="A10" s="2" t="s">
        <v>17</v>
      </c>
      <c r="B10" s="3" t="s">
        <v>18</v>
      </c>
    </row>
    <row r="11" spans="1:2" ht="32" customHeight="1">
      <c r="A11" s="2" t="s">
        <v>19</v>
      </c>
      <c r="B11" s="3" t="s">
        <v>20</v>
      </c>
    </row>
    <row r="12" spans="1:2" ht="32" customHeight="1">
      <c r="A12" s="2" t="s">
        <v>21</v>
      </c>
      <c r="B12" s="3" t="s">
        <v>22</v>
      </c>
    </row>
    <row r="13" spans="1:2" ht="32" customHeight="1">
      <c r="A13" s="4" t="s">
        <v>23</v>
      </c>
      <c r="B13" s="5" t="s">
        <v>24</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11"/>
  <sheetViews>
    <sheetView tabSelected="1" topLeftCell="N1" zoomScale="101" workbookViewId="0">
      <selection activeCell="T76" sqref="T76"/>
    </sheetView>
  </sheetViews>
  <sheetFormatPr baseColWidth="10" defaultColWidth="8.83203125" defaultRowHeight="14"/>
  <cols>
    <col min="1" max="1" width="11" customWidth="1"/>
    <col min="2" max="2" width="14" customWidth="1"/>
    <col min="3" max="3" width="20" customWidth="1"/>
    <col min="4" max="4" width="18" customWidth="1"/>
    <col min="5" max="5" width="22" customWidth="1"/>
    <col min="6" max="6" width="10" customWidth="1"/>
    <col min="7" max="7" width="34" customWidth="1"/>
    <col min="8" max="9" width="58" customWidth="1"/>
    <col min="10" max="10" width="35" customWidth="1"/>
    <col min="11" max="11" width="58" customWidth="1"/>
    <col min="12" max="13" width="48" customWidth="1"/>
    <col min="14" max="17" width="42" customWidth="1"/>
    <col min="18" max="18" width="12" customWidth="1"/>
    <col min="19" max="19" width="21" customWidth="1"/>
    <col min="20" max="20" width="28" customWidth="1"/>
    <col min="21" max="21" width="38" customWidth="1"/>
    <col min="22" max="22" width="21" customWidth="1"/>
    <col min="23" max="23" width="28" customWidth="1"/>
    <col min="24" max="24" width="38" customWidth="1"/>
    <col min="25" max="25" width="21" customWidth="1"/>
    <col min="26" max="26" width="28" customWidth="1"/>
    <col min="27" max="27" width="42" customWidth="1"/>
    <col min="28" max="28" width="16" customWidth="1"/>
    <col min="29" max="29" width="10" customWidth="1"/>
  </cols>
  <sheetData>
    <row r="1" spans="1:30" ht="48">
      <c r="A1" s="8" t="s">
        <v>25</v>
      </c>
      <c r="B1" s="9" t="s">
        <v>26</v>
      </c>
      <c r="C1" s="9" t="s">
        <v>27</v>
      </c>
      <c r="D1" s="9" t="s">
        <v>28</v>
      </c>
      <c r="E1" s="9" t="s">
        <v>29</v>
      </c>
      <c r="F1" s="9" t="s">
        <v>30</v>
      </c>
      <c r="G1" s="9" t="s">
        <v>31</v>
      </c>
      <c r="H1" s="9" t="s">
        <v>32</v>
      </c>
      <c r="I1" s="9" t="s">
        <v>33</v>
      </c>
      <c r="J1" s="9" t="s">
        <v>34</v>
      </c>
      <c r="K1" s="9" t="s">
        <v>35</v>
      </c>
      <c r="L1" s="9" t="s">
        <v>36</v>
      </c>
      <c r="M1" s="9" t="s">
        <v>37</v>
      </c>
      <c r="N1" s="9" t="s">
        <v>38</v>
      </c>
      <c r="O1" s="9" t="s">
        <v>39</v>
      </c>
      <c r="P1" s="9" t="s">
        <v>40</v>
      </c>
      <c r="Q1" s="9" t="s">
        <v>41</v>
      </c>
      <c r="R1" s="9" t="s">
        <v>42</v>
      </c>
      <c r="S1" s="9" t="s">
        <v>43</v>
      </c>
      <c r="T1" s="9" t="s">
        <v>44</v>
      </c>
      <c r="U1" s="9" t="s">
        <v>45</v>
      </c>
      <c r="V1" s="9" t="s">
        <v>46</v>
      </c>
      <c r="W1" s="9" t="s">
        <v>47</v>
      </c>
      <c r="X1" s="9" t="s">
        <v>48</v>
      </c>
      <c r="Y1" s="9" t="s">
        <v>49</v>
      </c>
      <c r="Z1" s="9" t="s">
        <v>50</v>
      </c>
      <c r="AA1" s="9" t="s">
        <v>51</v>
      </c>
      <c r="AB1" s="9" t="s">
        <v>52</v>
      </c>
      <c r="AC1" s="9" t="s">
        <v>53</v>
      </c>
      <c r="AD1" s="10" t="s">
        <v>54</v>
      </c>
    </row>
    <row r="2" spans="1:30" ht="45">
      <c r="A2" s="11" t="s">
        <v>55</v>
      </c>
      <c r="B2" s="7" t="s">
        <v>56</v>
      </c>
      <c r="C2" s="7" t="s">
        <v>57</v>
      </c>
      <c r="D2" s="7" t="s">
        <v>58</v>
      </c>
      <c r="E2" s="7" t="s">
        <v>59</v>
      </c>
      <c r="F2" s="7" t="s">
        <v>60</v>
      </c>
      <c r="G2" s="7" t="s">
        <v>61</v>
      </c>
      <c r="H2" s="7" t="s">
        <v>62</v>
      </c>
      <c r="I2" s="7"/>
      <c r="J2" s="7"/>
      <c r="K2" s="7" t="s">
        <v>63</v>
      </c>
      <c r="L2" s="7" t="s">
        <v>64</v>
      </c>
      <c r="M2" s="7" t="s">
        <v>65</v>
      </c>
      <c r="N2" s="7"/>
      <c r="O2" s="7"/>
      <c r="P2" s="7"/>
      <c r="Q2" s="7" t="s">
        <v>66</v>
      </c>
      <c r="R2" s="7">
        <v>1</v>
      </c>
      <c r="S2" s="7" t="s">
        <v>67</v>
      </c>
      <c r="T2" s="7" t="s">
        <v>869</v>
      </c>
      <c r="U2" s="7"/>
      <c r="V2" s="7"/>
      <c r="W2" s="7"/>
      <c r="X2" s="7"/>
      <c r="Y2" s="7"/>
      <c r="Z2" s="7"/>
      <c r="AA2" s="7"/>
      <c r="AB2" s="7" t="str">
        <f t="shared" ref="AB2:AB33" si="0">IF(AND(S2&lt;&gt;"",V2&lt;&gt;"",S2&lt;&gt;V2),"REVIEW","")</f>
        <v/>
      </c>
      <c r="AC2" s="7" t="str">
        <f t="shared" ref="AC2:AC33" si="1">IF(Y2&lt;&gt;"","YES","NO")</f>
        <v>NO</v>
      </c>
      <c r="AD2" s="12"/>
    </row>
    <row r="3" spans="1:30" ht="30">
      <c r="A3" s="11" t="s">
        <v>68</v>
      </c>
      <c r="B3" s="7" t="s">
        <v>69</v>
      </c>
      <c r="C3" s="7" t="s">
        <v>57</v>
      </c>
      <c r="D3" s="7" t="s">
        <v>58</v>
      </c>
      <c r="E3" s="7" t="s">
        <v>59</v>
      </c>
      <c r="F3" s="7" t="s">
        <v>60</v>
      </c>
      <c r="G3" s="7" t="s">
        <v>61</v>
      </c>
      <c r="H3" s="7" t="s">
        <v>70</v>
      </c>
      <c r="I3" s="7"/>
      <c r="J3" s="7"/>
      <c r="K3" s="7" t="s">
        <v>71</v>
      </c>
      <c r="L3" s="7" t="s">
        <v>72</v>
      </c>
      <c r="M3" s="7" t="s">
        <v>73</v>
      </c>
      <c r="N3" s="7"/>
      <c r="O3" s="7"/>
      <c r="P3" s="7"/>
      <c r="Q3" s="7"/>
      <c r="R3" s="7">
        <v>1</v>
      </c>
      <c r="S3" s="7" t="s">
        <v>67</v>
      </c>
      <c r="T3" s="7" t="s">
        <v>869</v>
      </c>
      <c r="U3" s="7"/>
      <c r="V3" s="7"/>
      <c r="W3" s="7"/>
      <c r="X3" s="7"/>
      <c r="Y3" s="7"/>
      <c r="Z3" s="7"/>
      <c r="AA3" s="7"/>
      <c r="AB3" s="7" t="str">
        <f t="shared" si="0"/>
        <v/>
      </c>
      <c r="AC3" s="7" t="str">
        <f t="shared" si="1"/>
        <v>NO</v>
      </c>
      <c r="AD3" s="12"/>
    </row>
    <row r="4" spans="1:30" ht="45">
      <c r="A4" s="11" t="s">
        <v>74</v>
      </c>
      <c r="B4" s="7" t="s">
        <v>75</v>
      </c>
      <c r="C4" s="7" t="s">
        <v>57</v>
      </c>
      <c r="D4" s="7" t="s">
        <v>58</v>
      </c>
      <c r="E4" s="7" t="s">
        <v>59</v>
      </c>
      <c r="F4" s="7" t="s">
        <v>76</v>
      </c>
      <c r="G4" s="7" t="s">
        <v>61</v>
      </c>
      <c r="H4" s="7" t="s">
        <v>77</v>
      </c>
      <c r="I4" s="7"/>
      <c r="J4" s="7"/>
      <c r="K4" s="7" t="s">
        <v>78</v>
      </c>
      <c r="L4" s="7" t="s">
        <v>79</v>
      </c>
      <c r="M4" s="7" t="s">
        <v>80</v>
      </c>
      <c r="N4" s="7"/>
      <c r="O4" s="7"/>
      <c r="P4" s="7"/>
      <c r="Q4" s="7"/>
      <c r="R4" s="7">
        <v>3</v>
      </c>
      <c r="S4" s="7" t="s">
        <v>81</v>
      </c>
      <c r="T4" s="7" t="s">
        <v>869</v>
      </c>
      <c r="U4" s="7"/>
      <c r="V4" s="7" t="s">
        <v>882</v>
      </c>
      <c r="W4" s="7"/>
      <c r="X4" s="7"/>
      <c r="Y4" s="7"/>
      <c r="Z4" s="7"/>
      <c r="AA4" s="7"/>
      <c r="AB4" s="7" t="str">
        <f t="shared" si="0"/>
        <v>REVIEW</v>
      </c>
      <c r="AC4" s="7" t="str">
        <f t="shared" si="1"/>
        <v>NO</v>
      </c>
      <c r="AD4" s="12"/>
    </row>
    <row r="5" spans="1:30" ht="45">
      <c r="A5" s="11" t="s">
        <v>82</v>
      </c>
      <c r="B5" s="7" t="s">
        <v>83</v>
      </c>
      <c r="C5" s="7" t="s">
        <v>57</v>
      </c>
      <c r="D5" s="7" t="s">
        <v>58</v>
      </c>
      <c r="E5" s="7" t="s">
        <v>59</v>
      </c>
      <c r="F5" s="7" t="s">
        <v>76</v>
      </c>
      <c r="G5" s="7" t="s">
        <v>61</v>
      </c>
      <c r="H5" s="7" t="s">
        <v>84</v>
      </c>
      <c r="I5" s="7"/>
      <c r="J5" s="7"/>
      <c r="K5" s="7" t="s">
        <v>85</v>
      </c>
      <c r="L5" s="7" t="s">
        <v>86</v>
      </c>
      <c r="M5" s="7" t="s">
        <v>87</v>
      </c>
      <c r="N5" s="7"/>
      <c r="O5" s="7"/>
      <c r="P5" s="7"/>
      <c r="Q5" s="7"/>
      <c r="R5" s="7">
        <v>3</v>
      </c>
      <c r="S5" s="7" t="s">
        <v>88</v>
      </c>
      <c r="T5" s="7" t="s">
        <v>869</v>
      </c>
      <c r="U5" s="7"/>
      <c r="V5" s="7"/>
      <c r="W5" s="7"/>
      <c r="X5" s="7"/>
      <c r="Y5" s="7"/>
      <c r="Z5" s="7"/>
      <c r="AA5" s="7"/>
      <c r="AB5" s="7" t="str">
        <f t="shared" si="0"/>
        <v/>
      </c>
      <c r="AC5" s="7" t="str">
        <f t="shared" si="1"/>
        <v>NO</v>
      </c>
      <c r="AD5" s="12"/>
    </row>
    <row r="6" spans="1:30" ht="30">
      <c r="A6" s="11" t="s">
        <v>89</v>
      </c>
      <c r="B6" s="7" t="s">
        <v>83</v>
      </c>
      <c r="C6" s="7" t="s">
        <v>57</v>
      </c>
      <c r="D6" s="7" t="s">
        <v>58</v>
      </c>
      <c r="E6" s="7" t="s">
        <v>59</v>
      </c>
      <c r="F6" s="7" t="s">
        <v>76</v>
      </c>
      <c r="G6" s="7" t="s">
        <v>61</v>
      </c>
      <c r="H6" s="7" t="s">
        <v>84</v>
      </c>
      <c r="I6" s="7"/>
      <c r="J6" s="7"/>
      <c r="K6" s="7" t="s">
        <v>85</v>
      </c>
      <c r="L6" s="7" t="s">
        <v>90</v>
      </c>
      <c r="M6" s="7" t="s">
        <v>87</v>
      </c>
      <c r="N6" s="7"/>
      <c r="O6" s="7"/>
      <c r="P6" s="7"/>
      <c r="Q6" s="7"/>
      <c r="R6" s="7">
        <v>1</v>
      </c>
      <c r="S6" s="7" t="s">
        <v>91</v>
      </c>
      <c r="T6" s="7" t="s">
        <v>869</v>
      </c>
      <c r="U6" s="7"/>
      <c r="V6" s="7"/>
      <c r="W6" s="7"/>
      <c r="X6" s="7"/>
      <c r="Y6" s="7"/>
      <c r="Z6" s="7"/>
      <c r="AA6" s="7"/>
      <c r="AB6" s="7" t="str">
        <f t="shared" si="0"/>
        <v/>
      </c>
      <c r="AC6" s="7" t="str">
        <f t="shared" si="1"/>
        <v>NO</v>
      </c>
      <c r="AD6" s="12"/>
    </row>
    <row r="7" spans="1:30" ht="30">
      <c r="A7" s="11" t="s">
        <v>92</v>
      </c>
      <c r="B7" s="7" t="s">
        <v>93</v>
      </c>
      <c r="C7" s="7" t="s">
        <v>57</v>
      </c>
      <c r="D7" s="7" t="s">
        <v>58</v>
      </c>
      <c r="E7" s="7" t="s">
        <v>59</v>
      </c>
      <c r="F7" s="7" t="s">
        <v>94</v>
      </c>
      <c r="G7" s="7" t="s">
        <v>61</v>
      </c>
      <c r="H7" s="7" t="s">
        <v>95</v>
      </c>
      <c r="I7" s="7"/>
      <c r="J7" s="7"/>
      <c r="K7" s="7" t="s">
        <v>96</v>
      </c>
      <c r="L7" s="7" t="s">
        <v>97</v>
      </c>
      <c r="M7" s="7" t="s">
        <v>98</v>
      </c>
      <c r="N7" s="7"/>
      <c r="O7" s="7"/>
      <c r="P7" s="7"/>
      <c r="Q7" s="7"/>
      <c r="R7" s="7">
        <v>1</v>
      </c>
      <c r="S7" s="7" t="s">
        <v>67</v>
      </c>
      <c r="T7" s="7" t="s">
        <v>869</v>
      </c>
      <c r="U7" s="7"/>
      <c r="V7" s="7"/>
      <c r="W7" s="7"/>
      <c r="X7" s="7"/>
      <c r="Y7" s="7"/>
      <c r="Z7" s="7"/>
      <c r="AA7" s="7"/>
      <c r="AB7" s="7" t="str">
        <f t="shared" si="0"/>
        <v/>
      </c>
      <c r="AC7" s="7" t="str">
        <f t="shared" si="1"/>
        <v>NO</v>
      </c>
      <c r="AD7" s="12"/>
    </row>
    <row r="8" spans="1:30" ht="45">
      <c r="A8" s="11" t="s">
        <v>99</v>
      </c>
      <c r="B8" s="7" t="s">
        <v>100</v>
      </c>
      <c r="C8" s="7" t="s">
        <v>57</v>
      </c>
      <c r="D8" s="7" t="s">
        <v>58</v>
      </c>
      <c r="E8" s="7" t="s">
        <v>59</v>
      </c>
      <c r="F8" s="7" t="s">
        <v>94</v>
      </c>
      <c r="G8" s="7" t="s">
        <v>61</v>
      </c>
      <c r="H8" s="7" t="s">
        <v>101</v>
      </c>
      <c r="I8" s="7"/>
      <c r="J8" s="7"/>
      <c r="K8" s="7" t="s">
        <v>102</v>
      </c>
      <c r="L8" s="7" t="s">
        <v>103</v>
      </c>
      <c r="M8" s="7" t="s">
        <v>104</v>
      </c>
      <c r="N8" s="7"/>
      <c r="O8" s="7"/>
      <c r="P8" s="7"/>
      <c r="Q8" s="7"/>
      <c r="R8" s="7">
        <v>1</v>
      </c>
      <c r="S8" s="7" t="s">
        <v>67</v>
      </c>
      <c r="T8" s="7" t="s">
        <v>869</v>
      </c>
      <c r="U8" s="7"/>
      <c r="V8" s="7"/>
      <c r="W8" s="7"/>
      <c r="X8" s="7"/>
      <c r="Y8" s="7"/>
      <c r="Z8" s="7"/>
      <c r="AA8" s="7"/>
      <c r="AB8" s="7" t="str">
        <f t="shared" si="0"/>
        <v/>
      </c>
      <c r="AC8" s="7" t="str">
        <f t="shared" si="1"/>
        <v>NO</v>
      </c>
      <c r="AD8" s="12"/>
    </row>
    <row r="9" spans="1:30" ht="45">
      <c r="A9" s="11" t="s">
        <v>105</v>
      </c>
      <c r="B9" s="7" t="s">
        <v>106</v>
      </c>
      <c r="C9" s="7" t="s">
        <v>57</v>
      </c>
      <c r="D9" s="7" t="s">
        <v>58</v>
      </c>
      <c r="E9" s="7" t="s">
        <v>59</v>
      </c>
      <c r="F9" s="7" t="s">
        <v>76</v>
      </c>
      <c r="G9" s="7" t="s">
        <v>61</v>
      </c>
      <c r="H9" s="7" t="s">
        <v>107</v>
      </c>
      <c r="I9" s="7"/>
      <c r="J9" s="7"/>
      <c r="K9" s="7" t="s">
        <v>108</v>
      </c>
      <c r="L9" s="7" t="s">
        <v>109</v>
      </c>
      <c r="M9" s="7" t="s">
        <v>110</v>
      </c>
      <c r="N9" s="7"/>
      <c r="O9" s="7"/>
      <c r="P9" s="7"/>
      <c r="Q9" s="7"/>
      <c r="R9" s="7">
        <v>1</v>
      </c>
      <c r="S9" s="7" t="s">
        <v>91</v>
      </c>
      <c r="T9" s="7"/>
      <c r="U9" s="7"/>
      <c r="V9" s="7" t="s">
        <v>883</v>
      </c>
      <c r="W9" s="7"/>
      <c r="X9" s="7"/>
      <c r="Y9" s="7"/>
      <c r="Z9" s="7"/>
      <c r="AA9" s="7"/>
      <c r="AB9" s="7" t="str">
        <f t="shared" si="0"/>
        <v>REVIEW</v>
      </c>
      <c r="AC9" s="7" t="str">
        <f t="shared" si="1"/>
        <v>NO</v>
      </c>
      <c r="AD9" s="12"/>
    </row>
    <row r="10" spans="1:30" ht="45">
      <c r="A10" s="11" t="s">
        <v>111</v>
      </c>
      <c r="B10" s="7" t="s">
        <v>106</v>
      </c>
      <c r="C10" s="7" t="s">
        <v>57</v>
      </c>
      <c r="D10" s="7" t="s">
        <v>58</v>
      </c>
      <c r="E10" s="7" t="s">
        <v>59</v>
      </c>
      <c r="F10" s="7" t="s">
        <v>76</v>
      </c>
      <c r="G10" s="7" t="s">
        <v>61</v>
      </c>
      <c r="H10" s="7" t="s">
        <v>107</v>
      </c>
      <c r="I10" s="7"/>
      <c r="J10" s="7"/>
      <c r="K10" s="7" t="s">
        <v>108</v>
      </c>
      <c r="L10" s="7" t="s">
        <v>112</v>
      </c>
      <c r="M10" s="7" t="s">
        <v>110</v>
      </c>
      <c r="N10" s="7"/>
      <c r="O10" s="7"/>
      <c r="P10" s="7"/>
      <c r="Q10" s="7"/>
      <c r="R10" s="7">
        <v>2</v>
      </c>
      <c r="S10" s="7" t="s">
        <v>113</v>
      </c>
      <c r="T10" s="7"/>
      <c r="U10" s="7"/>
      <c r="V10" s="7"/>
      <c r="W10" s="7"/>
      <c r="X10" s="7"/>
      <c r="Y10" s="7"/>
      <c r="Z10" s="7"/>
      <c r="AA10" s="7"/>
      <c r="AB10" s="7" t="str">
        <f t="shared" si="0"/>
        <v/>
      </c>
      <c r="AC10" s="7" t="str">
        <f t="shared" si="1"/>
        <v>NO</v>
      </c>
      <c r="AD10" s="12"/>
    </row>
    <row r="11" spans="1:30" ht="60">
      <c r="A11" s="11" t="s">
        <v>114</v>
      </c>
      <c r="B11" s="7" t="s">
        <v>115</v>
      </c>
      <c r="C11" s="7" t="s">
        <v>57</v>
      </c>
      <c r="D11" s="7" t="s">
        <v>58</v>
      </c>
      <c r="E11" s="7" t="s">
        <v>116</v>
      </c>
      <c r="F11" s="7" t="s">
        <v>76</v>
      </c>
      <c r="G11" s="7" t="s">
        <v>61</v>
      </c>
      <c r="H11" s="7" t="s">
        <v>117</v>
      </c>
      <c r="I11" s="7" t="s">
        <v>118</v>
      </c>
      <c r="J11" s="7" t="s">
        <v>119</v>
      </c>
      <c r="K11" s="7" t="s">
        <v>120</v>
      </c>
      <c r="L11" s="7" t="s">
        <v>121</v>
      </c>
      <c r="M11" s="7" t="s">
        <v>122</v>
      </c>
      <c r="N11" s="7"/>
      <c r="O11" s="7" t="s">
        <v>123</v>
      </c>
      <c r="P11" s="7" t="s">
        <v>124</v>
      </c>
      <c r="Q11" s="7"/>
      <c r="R11" s="7">
        <v>3</v>
      </c>
      <c r="S11" s="7" t="s">
        <v>125</v>
      </c>
      <c r="T11" s="19" t="s">
        <v>869</v>
      </c>
      <c r="U11" s="7"/>
      <c r="V11" s="7"/>
      <c r="W11" s="7"/>
      <c r="X11" s="7"/>
      <c r="Y11" s="7"/>
      <c r="Z11" s="7"/>
      <c r="AA11" s="7"/>
      <c r="AB11" s="7" t="str">
        <f t="shared" si="0"/>
        <v/>
      </c>
      <c r="AC11" s="7" t="str">
        <f t="shared" si="1"/>
        <v>NO</v>
      </c>
      <c r="AD11" s="12"/>
    </row>
    <row r="12" spans="1:30" ht="45">
      <c r="A12" s="11" t="s">
        <v>126</v>
      </c>
      <c r="B12" s="7" t="s">
        <v>127</v>
      </c>
      <c r="C12" s="7" t="s">
        <v>57</v>
      </c>
      <c r="D12" s="7" t="s">
        <v>58</v>
      </c>
      <c r="E12" s="7" t="s">
        <v>116</v>
      </c>
      <c r="F12" s="7" t="s">
        <v>60</v>
      </c>
      <c r="G12" s="7" t="s">
        <v>61</v>
      </c>
      <c r="H12" s="7" t="s">
        <v>128</v>
      </c>
      <c r="I12" s="7" t="s">
        <v>129</v>
      </c>
      <c r="J12" s="7" t="s">
        <v>130</v>
      </c>
      <c r="K12" s="7" t="s">
        <v>131</v>
      </c>
      <c r="L12" s="7" t="s">
        <v>132</v>
      </c>
      <c r="M12" s="7" t="s">
        <v>133</v>
      </c>
      <c r="N12" s="7"/>
      <c r="O12" s="7" t="s">
        <v>134</v>
      </c>
      <c r="P12" s="7" t="s">
        <v>135</v>
      </c>
      <c r="Q12" s="7"/>
      <c r="R12" s="7">
        <v>1</v>
      </c>
      <c r="S12" s="7" t="s">
        <v>67</v>
      </c>
      <c r="T12" s="19" t="s">
        <v>869</v>
      </c>
      <c r="U12" s="7"/>
      <c r="V12" s="7"/>
      <c r="W12" s="7"/>
      <c r="X12" s="7"/>
      <c r="Y12" s="7"/>
      <c r="Z12" s="7"/>
      <c r="AA12" s="7"/>
      <c r="AB12" s="7" t="str">
        <f t="shared" si="0"/>
        <v/>
      </c>
      <c r="AC12" s="7" t="str">
        <f t="shared" si="1"/>
        <v>NO</v>
      </c>
      <c r="AD12" s="12"/>
    </row>
    <row r="13" spans="1:30" ht="75">
      <c r="A13" s="11" t="s">
        <v>136</v>
      </c>
      <c r="B13" s="7" t="s">
        <v>127</v>
      </c>
      <c r="C13" s="7" t="s">
        <v>57</v>
      </c>
      <c r="D13" s="7" t="s">
        <v>58</v>
      </c>
      <c r="E13" s="7" t="s">
        <v>116</v>
      </c>
      <c r="F13" s="7" t="s">
        <v>60</v>
      </c>
      <c r="G13" s="7" t="s">
        <v>61</v>
      </c>
      <c r="H13" s="7" t="s">
        <v>128</v>
      </c>
      <c r="I13" s="7" t="s">
        <v>129</v>
      </c>
      <c r="J13" s="7" t="s">
        <v>130</v>
      </c>
      <c r="K13" s="7" t="s">
        <v>131</v>
      </c>
      <c r="L13" s="7" t="s">
        <v>137</v>
      </c>
      <c r="M13" s="7" t="s">
        <v>133</v>
      </c>
      <c r="N13" s="7"/>
      <c r="O13" s="7" t="s">
        <v>138</v>
      </c>
      <c r="P13" s="7" t="s">
        <v>135</v>
      </c>
      <c r="Q13" s="7"/>
      <c r="R13" s="7">
        <v>1</v>
      </c>
      <c r="S13" s="7" t="s">
        <v>139</v>
      </c>
      <c r="T13" s="19" t="s">
        <v>869</v>
      </c>
      <c r="U13" s="7"/>
      <c r="V13" s="7"/>
      <c r="W13" s="7"/>
      <c r="X13" s="7"/>
      <c r="Y13" s="7"/>
      <c r="Z13" s="7"/>
      <c r="AA13" s="7"/>
      <c r="AB13" s="7" t="str">
        <f t="shared" si="0"/>
        <v/>
      </c>
      <c r="AC13" s="7" t="str">
        <f t="shared" si="1"/>
        <v>NO</v>
      </c>
      <c r="AD13" s="12"/>
    </row>
    <row r="14" spans="1:30" ht="45">
      <c r="A14" s="11" t="s">
        <v>140</v>
      </c>
      <c r="B14" s="7" t="s">
        <v>127</v>
      </c>
      <c r="C14" s="7" t="s">
        <v>57</v>
      </c>
      <c r="D14" s="7" t="s">
        <v>58</v>
      </c>
      <c r="E14" s="7" t="s">
        <v>116</v>
      </c>
      <c r="F14" s="7" t="s">
        <v>60</v>
      </c>
      <c r="G14" s="7" t="s">
        <v>61</v>
      </c>
      <c r="H14" s="7" t="s">
        <v>128</v>
      </c>
      <c r="I14" s="7" t="s">
        <v>129</v>
      </c>
      <c r="J14" s="7" t="s">
        <v>130</v>
      </c>
      <c r="K14" s="7" t="s">
        <v>131</v>
      </c>
      <c r="L14" s="7" t="s">
        <v>141</v>
      </c>
      <c r="M14" s="7" t="s">
        <v>133</v>
      </c>
      <c r="N14" s="7"/>
      <c r="O14" s="7" t="s">
        <v>142</v>
      </c>
      <c r="P14" s="7" t="s">
        <v>135</v>
      </c>
      <c r="Q14" s="7"/>
      <c r="R14" s="7">
        <v>2</v>
      </c>
      <c r="S14" s="7" t="s">
        <v>143</v>
      </c>
      <c r="T14" s="19" t="s">
        <v>869</v>
      </c>
      <c r="U14" s="7"/>
      <c r="V14" s="7"/>
      <c r="W14" s="7"/>
      <c r="X14" s="7"/>
      <c r="Y14" s="7"/>
      <c r="Z14" s="7"/>
      <c r="AA14" s="7"/>
      <c r="AB14" s="7" t="str">
        <f t="shared" si="0"/>
        <v/>
      </c>
      <c r="AC14" s="7" t="str">
        <f t="shared" si="1"/>
        <v>NO</v>
      </c>
      <c r="AD14" s="12"/>
    </row>
    <row r="15" spans="1:30" ht="60">
      <c r="A15" s="11" t="s">
        <v>144</v>
      </c>
      <c r="B15" s="7" t="s">
        <v>145</v>
      </c>
      <c r="C15" s="7" t="s">
        <v>57</v>
      </c>
      <c r="D15" s="7" t="s">
        <v>58</v>
      </c>
      <c r="E15" s="7" t="s">
        <v>116</v>
      </c>
      <c r="F15" s="7" t="s">
        <v>60</v>
      </c>
      <c r="G15" s="7" t="s">
        <v>146</v>
      </c>
      <c r="H15" s="7" t="s">
        <v>147</v>
      </c>
      <c r="I15" s="7" t="s">
        <v>148</v>
      </c>
      <c r="J15" s="7" t="s">
        <v>149</v>
      </c>
      <c r="K15" s="7" t="s">
        <v>150</v>
      </c>
      <c r="L15" s="7" t="s">
        <v>151</v>
      </c>
      <c r="M15" s="7" t="s">
        <v>151</v>
      </c>
      <c r="N15" s="7"/>
      <c r="O15" s="7" t="s">
        <v>152</v>
      </c>
      <c r="P15" s="7" t="s">
        <v>153</v>
      </c>
      <c r="Q15" s="7" t="s">
        <v>154</v>
      </c>
      <c r="R15" s="7">
        <v>1</v>
      </c>
      <c r="S15" s="7" t="s">
        <v>155</v>
      </c>
      <c r="T15" s="19" t="s">
        <v>869</v>
      </c>
      <c r="U15" s="7"/>
      <c r="V15" s="7" t="s">
        <v>885</v>
      </c>
      <c r="W15" s="7"/>
      <c r="X15" s="7"/>
      <c r="Y15" s="7"/>
      <c r="Z15" s="7"/>
      <c r="AA15" s="7"/>
      <c r="AB15" s="7" t="str">
        <f t="shared" si="0"/>
        <v>REVIEW</v>
      </c>
      <c r="AC15" s="7" t="str">
        <f t="shared" si="1"/>
        <v>NO</v>
      </c>
      <c r="AD15" s="12"/>
    </row>
    <row r="16" spans="1:30" ht="60">
      <c r="A16" s="11" t="s">
        <v>156</v>
      </c>
      <c r="B16" s="7" t="s">
        <v>145</v>
      </c>
      <c r="C16" s="7" t="s">
        <v>57</v>
      </c>
      <c r="D16" s="7" t="s">
        <v>58</v>
      </c>
      <c r="E16" s="7" t="s">
        <v>116</v>
      </c>
      <c r="F16" s="7" t="s">
        <v>60</v>
      </c>
      <c r="G16" s="7" t="s">
        <v>61</v>
      </c>
      <c r="H16" s="7" t="s">
        <v>147</v>
      </c>
      <c r="I16" s="7" t="s">
        <v>148</v>
      </c>
      <c r="J16" s="7" t="s">
        <v>149</v>
      </c>
      <c r="K16" s="7" t="s">
        <v>150</v>
      </c>
      <c r="L16" s="7" t="s">
        <v>157</v>
      </c>
      <c r="M16" s="7" t="s">
        <v>151</v>
      </c>
      <c r="N16" s="7"/>
      <c r="O16" s="7" t="s">
        <v>158</v>
      </c>
      <c r="P16" s="7" t="s">
        <v>153</v>
      </c>
      <c r="Q16" s="7"/>
      <c r="R16" s="7">
        <v>1</v>
      </c>
      <c r="S16" s="7" t="s">
        <v>139</v>
      </c>
      <c r="T16" s="7"/>
      <c r="U16" s="7"/>
      <c r="V16" s="7" t="s">
        <v>884</v>
      </c>
      <c r="W16" s="7"/>
      <c r="X16" s="7"/>
      <c r="Y16" s="7"/>
      <c r="Z16" s="7"/>
      <c r="AA16" s="7"/>
      <c r="AB16" s="7" t="str">
        <f t="shared" si="0"/>
        <v>REVIEW</v>
      </c>
      <c r="AC16" s="7" t="str">
        <f t="shared" si="1"/>
        <v>NO</v>
      </c>
      <c r="AD16" s="12"/>
    </row>
    <row r="17" spans="1:30" ht="90">
      <c r="A17" s="11" t="s">
        <v>159</v>
      </c>
      <c r="B17" s="7" t="s">
        <v>145</v>
      </c>
      <c r="C17" s="7" t="s">
        <v>57</v>
      </c>
      <c r="D17" s="7" t="s">
        <v>58</v>
      </c>
      <c r="E17" s="7" t="s">
        <v>116</v>
      </c>
      <c r="F17" s="7" t="s">
        <v>60</v>
      </c>
      <c r="G17" s="7" t="s">
        <v>61</v>
      </c>
      <c r="H17" s="7" t="s">
        <v>147</v>
      </c>
      <c r="I17" s="7" t="s">
        <v>148</v>
      </c>
      <c r="J17" s="7" t="s">
        <v>149</v>
      </c>
      <c r="K17" s="7" t="s">
        <v>150</v>
      </c>
      <c r="L17" s="7" t="s">
        <v>160</v>
      </c>
      <c r="M17" s="7" t="s">
        <v>151</v>
      </c>
      <c r="N17" s="7"/>
      <c r="O17" s="7" t="s">
        <v>161</v>
      </c>
      <c r="P17" s="7" t="s">
        <v>153</v>
      </c>
      <c r="Q17" s="7" t="s">
        <v>66</v>
      </c>
      <c r="R17" s="7">
        <v>1</v>
      </c>
      <c r="S17" s="7" t="s">
        <v>67</v>
      </c>
      <c r="T17" s="19" t="s">
        <v>869</v>
      </c>
      <c r="U17" s="7"/>
      <c r="V17" s="7"/>
      <c r="W17" s="7"/>
      <c r="X17" s="7"/>
      <c r="Y17" s="7"/>
      <c r="Z17" s="7"/>
      <c r="AA17" s="7"/>
      <c r="AB17" s="7" t="str">
        <f t="shared" si="0"/>
        <v/>
      </c>
      <c r="AC17" s="7" t="str">
        <f t="shared" si="1"/>
        <v>NO</v>
      </c>
      <c r="AD17" s="12"/>
    </row>
    <row r="18" spans="1:30" ht="45">
      <c r="A18" s="11" t="s">
        <v>162</v>
      </c>
      <c r="B18" s="7" t="s">
        <v>163</v>
      </c>
      <c r="C18" s="7" t="s">
        <v>57</v>
      </c>
      <c r="D18" s="7" t="s">
        <v>58</v>
      </c>
      <c r="E18" s="7" t="s">
        <v>59</v>
      </c>
      <c r="F18" s="7" t="s">
        <v>76</v>
      </c>
      <c r="G18" s="7" t="s">
        <v>61</v>
      </c>
      <c r="H18" s="7" t="s">
        <v>164</v>
      </c>
      <c r="I18" s="7"/>
      <c r="J18" s="7"/>
      <c r="K18" s="7" t="s">
        <v>165</v>
      </c>
      <c r="L18" s="7" t="s">
        <v>166</v>
      </c>
      <c r="M18" s="7" t="s">
        <v>167</v>
      </c>
      <c r="N18" s="7"/>
      <c r="O18" s="7"/>
      <c r="P18" s="7"/>
      <c r="Q18" s="7"/>
      <c r="R18" s="7">
        <v>1</v>
      </c>
      <c r="S18" s="7" t="s">
        <v>67</v>
      </c>
      <c r="T18" s="19" t="s">
        <v>869</v>
      </c>
      <c r="U18" s="7"/>
      <c r="V18" s="7"/>
      <c r="W18" s="7"/>
      <c r="X18" s="7"/>
      <c r="Y18" s="7"/>
      <c r="Z18" s="7"/>
      <c r="AA18" s="7"/>
      <c r="AB18" s="7" t="str">
        <f t="shared" si="0"/>
        <v/>
      </c>
      <c r="AC18" s="7" t="str">
        <f t="shared" si="1"/>
        <v>NO</v>
      </c>
      <c r="AD18" s="12"/>
    </row>
    <row r="19" spans="1:30" ht="45">
      <c r="A19" s="11" t="s">
        <v>168</v>
      </c>
      <c r="B19" s="7" t="s">
        <v>163</v>
      </c>
      <c r="C19" s="7" t="s">
        <v>57</v>
      </c>
      <c r="D19" s="7" t="s">
        <v>58</v>
      </c>
      <c r="E19" s="7" t="s">
        <v>59</v>
      </c>
      <c r="F19" s="7" t="s">
        <v>76</v>
      </c>
      <c r="G19" s="7" t="s">
        <v>61</v>
      </c>
      <c r="H19" s="7" t="s">
        <v>164</v>
      </c>
      <c r="I19" s="7"/>
      <c r="J19" s="7"/>
      <c r="K19" s="7" t="s">
        <v>165</v>
      </c>
      <c r="L19" s="7" t="s">
        <v>169</v>
      </c>
      <c r="M19" s="7" t="s">
        <v>167</v>
      </c>
      <c r="N19" s="7"/>
      <c r="O19" s="7"/>
      <c r="P19" s="7"/>
      <c r="Q19" s="7"/>
      <c r="R19" s="7">
        <v>2</v>
      </c>
      <c r="S19" s="7" t="s">
        <v>143</v>
      </c>
      <c r="T19" s="7"/>
      <c r="U19" s="7"/>
      <c r="V19" s="7" t="s">
        <v>886</v>
      </c>
      <c r="W19" s="7"/>
      <c r="X19" s="7"/>
      <c r="Y19" s="7"/>
      <c r="Z19" s="7"/>
      <c r="AA19" s="7"/>
      <c r="AB19" s="7" t="str">
        <f t="shared" si="0"/>
        <v>REVIEW</v>
      </c>
      <c r="AC19" s="7" t="str">
        <f t="shared" si="1"/>
        <v>NO</v>
      </c>
      <c r="AD19" s="12"/>
    </row>
    <row r="20" spans="1:30" ht="30">
      <c r="A20" s="11" t="s">
        <v>170</v>
      </c>
      <c r="B20" s="7" t="s">
        <v>171</v>
      </c>
      <c r="C20" s="7" t="s">
        <v>57</v>
      </c>
      <c r="D20" s="7" t="s">
        <v>58</v>
      </c>
      <c r="E20" s="7" t="s">
        <v>59</v>
      </c>
      <c r="F20" s="7" t="s">
        <v>94</v>
      </c>
      <c r="G20" s="7" t="s">
        <v>61</v>
      </c>
      <c r="H20" s="7" t="s">
        <v>172</v>
      </c>
      <c r="I20" s="7"/>
      <c r="J20" s="7"/>
      <c r="K20" s="7" t="s">
        <v>173</v>
      </c>
      <c r="L20" s="7" t="s">
        <v>174</v>
      </c>
      <c r="M20" s="7" t="s">
        <v>175</v>
      </c>
      <c r="N20" s="7"/>
      <c r="O20" s="7"/>
      <c r="P20" s="7"/>
      <c r="Q20" s="7"/>
      <c r="R20" s="7">
        <v>1</v>
      </c>
      <c r="S20" s="7" t="s">
        <v>67</v>
      </c>
      <c r="T20" s="19" t="s">
        <v>869</v>
      </c>
      <c r="U20" s="7"/>
      <c r="V20" s="7"/>
      <c r="W20" s="7"/>
      <c r="X20" s="7"/>
      <c r="Y20" s="7"/>
      <c r="Z20" s="7"/>
      <c r="AA20" s="7"/>
      <c r="AB20" s="7" t="str">
        <f t="shared" si="0"/>
        <v/>
      </c>
      <c r="AC20" s="7" t="str">
        <f t="shared" si="1"/>
        <v>NO</v>
      </c>
      <c r="AD20" s="12"/>
    </row>
    <row r="21" spans="1:30" ht="45">
      <c r="A21" s="11" t="s">
        <v>176</v>
      </c>
      <c r="B21" s="7" t="s">
        <v>177</v>
      </c>
      <c r="C21" s="7" t="s">
        <v>57</v>
      </c>
      <c r="D21" s="7" t="s">
        <v>58</v>
      </c>
      <c r="E21" s="7" t="s">
        <v>59</v>
      </c>
      <c r="F21" s="7" t="s">
        <v>94</v>
      </c>
      <c r="G21" s="7" t="s">
        <v>61</v>
      </c>
      <c r="H21" s="7" t="s">
        <v>178</v>
      </c>
      <c r="I21" s="7"/>
      <c r="J21" s="7"/>
      <c r="K21" s="7" t="s">
        <v>179</v>
      </c>
      <c r="L21" s="7" t="s">
        <v>180</v>
      </c>
      <c r="M21" s="7" t="s">
        <v>181</v>
      </c>
      <c r="N21" s="7"/>
      <c r="O21" s="7"/>
      <c r="P21" s="7"/>
      <c r="Q21" s="7"/>
      <c r="R21" s="7">
        <v>1</v>
      </c>
      <c r="S21" s="7" t="s">
        <v>67</v>
      </c>
      <c r="T21" s="19" t="s">
        <v>869</v>
      </c>
      <c r="U21" s="7"/>
      <c r="V21" s="7"/>
      <c r="W21" s="7"/>
      <c r="X21" s="7"/>
      <c r="Y21" s="7"/>
      <c r="Z21" s="7"/>
      <c r="AA21" s="7"/>
      <c r="AB21" s="7" t="str">
        <f t="shared" si="0"/>
        <v/>
      </c>
      <c r="AC21" s="7" t="str">
        <f t="shared" si="1"/>
        <v>NO</v>
      </c>
      <c r="AD21" s="12"/>
    </row>
    <row r="22" spans="1:30" ht="45">
      <c r="A22" s="11" t="s">
        <v>182</v>
      </c>
      <c r="B22" s="7" t="s">
        <v>183</v>
      </c>
      <c r="C22" s="7" t="s">
        <v>57</v>
      </c>
      <c r="D22" s="7" t="s">
        <v>58</v>
      </c>
      <c r="E22" s="7" t="s">
        <v>59</v>
      </c>
      <c r="F22" s="7" t="s">
        <v>94</v>
      </c>
      <c r="G22" s="7" t="s">
        <v>61</v>
      </c>
      <c r="H22" s="7" t="s">
        <v>184</v>
      </c>
      <c r="I22" s="7"/>
      <c r="J22" s="7"/>
      <c r="K22" s="7" t="s">
        <v>185</v>
      </c>
      <c r="L22" s="7" t="s">
        <v>186</v>
      </c>
      <c r="M22" s="7" t="s">
        <v>187</v>
      </c>
      <c r="N22" s="7"/>
      <c r="O22" s="7"/>
      <c r="P22" s="7"/>
      <c r="Q22" s="7"/>
      <c r="R22" s="7">
        <v>1</v>
      </c>
      <c r="S22" s="7" t="s">
        <v>155</v>
      </c>
      <c r="T22" s="19" t="s">
        <v>869</v>
      </c>
      <c r="U22" s="7"/>
      <c r="V22" s="7"/>
      <c r="W22" s="7"/>
      <c r="X22" s="7"/>
      <c r="Y22" s="7"/>
      <c r="Z22" s="7"/>
      <c r="AA22" s="7"/>
      <c r="AB22" s="7" t="str">
        <f t="shared" si="0"/>
        <v/>
      </c>
      <c r="AC22" s="7" t="str">
        <f t="shared" si="1"/>
        <v>NO</v>
      </c>
      <c r="AD22" s="12"/>
    </row>
    <row r="23" spans="1:30" ht="30">
      <c r="A23" s="11" t="s">
        <v>188</v>
      </c>
      <c r="B23" s="7" t="s">
        <v>189</v>
      </c>
      <c r="C23" s="7" t="s">
        <v>190</v>
      </c>
      <c r="D23" s="7" t="s">
        <v>191</v>
      </c>
      <c r="E23" s="7" t="s">
        <v>59</v>
      </c>
      <c r="F23" s="7" t="s">
        <v>94</v>
      </c>
      <c r="G23" s="7" t="s">
        <v>61</v>
      </c>
      <c r="H23" s="7" t="s">
        <v>192</v>
      </c>
      <c r="I23" s="7"/>
      <c r="J23" s="7"/>
      <c r="K23" s="7" t="s">
        <v>173</v>
      </c>
      <c r="L23" s="7" t="s">
        <v>193</v>
      </c>
      <c r="M23" s="7" t="s">
        <v>175</v>
      </c>
      <c r="N23" s="7"/>
      <c r="O23" s="7"/>
      <c r="P23" s="7"/>
      <c r="Q23" s="7"/>
      <c r="R23" s="7">
        <v>1</v>
      </c>
      <c r="S23" s="7" t="s">
        <v>155</v>
      </c>
      <c r="T23" s="7"/>
      <c r="U23" s="7"/>
      <c r="V23" s="7" t="s">
        <v>887</v>
      </c>
      <c r="W23" s="7"/>
      <c r="X23" s="7"/>
      <c r="Y23" s="7"/>
      <c r="Z23" s="7"/>
      <c r="AA23" s="7"/>
      <c r="AB23" s="7" t="str">
        <f t="shared" si="0"/>
        <v>REVIEW</v>
      </c>
      <c r="AC23" s="7" t="str">
        <f t="shared" si="1"/>
        <v>NO</v>
      </c>
      <c r="AD23" s="12"/>
    </row>
    <row r="24" spans="1:30" ht="45">
      <c r="A24" s="11" t="s">
        <v>194</v>
      </c>
      <c r="B24" s="7" t="s">
        <v>195</v>
      </c>
      <c r="C24" s="7" t="s">
        <v>190</v>
      </c>
      <c r="D24" s="7" t="s">
        <v>191</v>
      </c>
      <c r="E24" s="7" t="s">
        <v>59</v>
      </c>
      <c r="F24" s="7" t="s">
        <v>94</v>
      </c>
      <c r="G24" s="7" t="s">
        <v>61</v>
      </c>
      <c r="H24" s="7" t="s">
        <v>196</v>
      </c>
      <c r="I24" s="7"/>
      <c r="J24" s="7"/>
      <c r="K24" s="7" t="s">
        <v>197</v>
      </c>
      <c r="L24" s="7" t="s">
        <v>198</v>
      </c>
      <c r="M24" s="7" t="s">
        <v>199</v>
      </c>
      <c r="N24" s="7"/>
      <c r="O24" s="7"/>
      <c r="P24" s="7"/>
      <c r="Q24" s="7"/>
      <c r="R24" s="7">
        <v>1</v>
      </c>
      <c r="S24" s="7" t="s">
        <v>155</v>
      </c>
      <c r="T24" s="7" t="s">
        <v>870</v>
      </c>
      <c r="U24" s="7"/>
      <c r="V24" s="7" t="s">
        <v>888</v>
      </c>
      <c r="W24" s="7"/>
      <c r="X24" s="7"/>
      <c r="Y24" s="7"/>
      <c r="Z24" s="7"/>
      <c r="AA24" s="7"/>
      <c r="AB24" s="7" t="str">
        <f t="shared" si="0"/>
        <v>REVIEW</v>
      </c>
      <c r="AC24" s="7" t="str">
        <f t="shared" si="1"/>
        <v>NO</v>
      </c>
      <c r="AD24" s="12"/>
    </row>
    <row r="25" spans="1:30" ht="45">
      <c r="A25" s="11" t="s">
        <v>200</v>
      </c>
      <c r="B25" s="7" t="s">
        <v>201</v>
      </c>
      <c r="C25" s="7" t="s">
        <v>190</v>
      </c>
      <c r="D25" s="7" t="s">
        <v>58</v>
      </c>
      <c r="E25" s="7" t="s">
        <v>59</v>
      </c>
      <c r="F25" s="7" t="s">
        <v>76</v>
      </c>
      <c r="G25" s="7" t="s">
        <v>61</v>
      </c>
      <c r="H25" s="7" t="s">
        <v>202</v>
      </c>
      <c r="I25" s="7"/>
      <c r="J25" s="7"/>
      <c r="K25" s="7" t="s">
        <v>203</v>
      </c>
      <c r="L25" s="7" t="s">
        <v>204</v>
      </c>
      <c r="M25" s="7" t="s">
        <v>205</v>
      </c>
      <c r="N25" s="7"/>
      <c r="O25" s="7"/>
      <c r="P25" s="7"/>
      <c r="Q25" s="7"/>
      <c r="R25" s="7">
        <v>1</v>
      </c>
      <c r="S25" s="7" t="s">
        <v>67</v>
      </c>
      <c r="T25" s="19" t="s">
        <v>869</v>
      </c>
      <c r="U25" s="7"/>
      <c r="V25" s="7"/>
      <c r="W25" s="7"/>
      <c r="X25" s="7"/>
      <c r="Y25" s="7"/>
      <c r="Z25" s="7"/>
      <c r="AA25" s="7"/>
      <c r="AB25" s="7" t="str">
        <f t="shared" si="0"/>
        <v/>
      </c>
      <c r="AC25" s="7" t="str">
        <f t="shared" si="1"/>
        <v>NO</v>
      </c>
      <c r="AD25" s="12"/>
    </row>
    <row r="26" spans="1:30" ht="45">
      <c r="A26" s="11" t="s">
        <v>206</v>
      </c>
      <c r="B26" s="7" t="s">
        <v>201</v>
      </c>
      <c r="C26" s="7" t="s">
        <v>190</v>
      </c>
      <c r="D26" s="7" t="s">
        <v>58</v>
      </c>
      <c r="E26" s="7" t="s">
        <v>59</v>
      </c>
      <c r="F26" s="7" t="s">
        <v>76</v>
      </c>
      <c r="G26" s="7" t="s">
        <v>61</v>
      </c>
      <c r="H26" s="7" t="s">
        <v>202</v>
      </c>
      <c r="I26" s="7"/>
      <c r="J26" s="7"/>
      <c r="K26" s="7" t="s">
        <v>203</v>
      </c>
      <c r="L26" s="7" t="s">
        <v>207</v>
      </c>
      <c r="M26" s="7" t="s">
        <v>205</v>
      </c>
      <c r="N26" s="7"/>
      <c r="O26" s="7"/>
      <c r="P26" s="7"/>
      <c r="Q26" s="7"/>
      <c r="R26" s="7">
        <v>1</v>
      </c>
      <c r="S26" s="7" t="s">
        <v>139</v>
      </c>
      <c r="T26" s="19" t="s">
        <v>869</v>
      </c>
      <c r="U26" s="7"/>
      <c r="V26" s="7"/>
      <c r="W26" s="7"/>
      <c r="X26" s="7"/>
      <c r="Y26" s="7"/>
      <c r="Z26" s="7"/>
      <c r="AA26" s="7"/>
      <c r="AB26" s="7" t="str">
        <f t="shared" si="0"/>
        <v/>
      </c>
      <c r="AC26" s="7" t="str">
        <f t="shared" si="1"/>
        <v>NO</v>
      </c>
      <c r="AD26" s="12"/>
    </row>
    <row r="27" spans="1:30" ht="45">
      <c r="A27" s="11" t="s">
        <v>208</v>
      </c>
      <c r="B27" s="7" t="s">
        <v>201</v>
      </c>
      <c r="C27" s="7" t="s">
        <v>190</v>
      </c>
      <c r="D27" s="7" t="s">
        <v>58</v>
      </c>
      <c r="E27" s="7" t="s">
        <v>59</v>
      </c>
      <c r="F27" s="7" t="s">
        <v>76</v>
      </c>
      <c r="G27" s="7" t="s">
        <v>61</v>
      </c>
      <c r="H27" s="7" t="s">
        <v>202</v>
      </c>
      <c r="I27" s="7"/>
      <c r="J27" s="7"/>
      <c r="K27" s="7" t="s">
        <v>203</v>
      </c>
      <c r="L27" s="7" t="s">
        <v>209</v>
      </c>
      <c r="M27" s="7" t="s">
        <v>205</v>
      </c>
      <c r="N27" s="7"/>
      <c r="O27" s="7"/>
      <c r="P27" s="7"/>
      <c r="Q27" s="7"/>
      <c r="R27" s="7">
        <v>1</v>
      </c>
      <c r="S27" s="7" t="s">
        <v>155</v>
      </c>
      <c r="T27" s="7"/>
      <c r="U27" s="7"/>
      <c r="V27" s="7" t="s">
        <v>890</v>
      </c>
      <c r="W27" s="7"/>
      <c r="X27" s="7"/>
      <c r="Y27" s="7"/>
      <c r="Z27" s="7"/>
      <c r="AA27" s="7"/>
      <c r="AB27" s="7" t="str">
        <f t="shared" si="0"/>
        <v>REVIEW</v>
      </c>
      <c r="AC27" s="7" t="str">
        <f t="shared" si="1"/>
        <v>NO</v>
      </c>
      <c r="AD27" s="12"/>
    </row>
    <row r="28" spans="1:30" ht="30">
      <c r="A28" s="11" t="s">
        <v>210</v>
      </c>
      <c r="B28" s="7" t="s">
        <v>211</v>
      </c>
      <c r="C28" s="7" t="s">
        <v>190</v>
      </c>
      <c r="D28" s="7" t="s">
        <v>58</v>
      </c>
      <c r="E28" s="7" t="s">
        <v>59</v>
      </c>
      <c r="F28" s="7" t="s">
        <v>94</v>
      </c>
      <c r="G28" s="7" t="s">
        <v>61</v>
      </c>
      <c r="H28" s="7" t="s">
        <v>212</v>
      </c>
      <c r="I28" s="7"/>
      <c r="J28" s="7"/>
      <c r="K28" s="7" t="s">
        <v>213</v>
      </c>
      <c r="L28" s="7" t="s">
        <v>214</v>
      </c>
      <c r="M28" s="7" t="s">
        <v>215</v>
      </c>
      <c r="N28" s="7"/>
      <c r="O28" s="7"/>
      <c r="P28" s="7"/>
      <c r="Q28" s="7"/>
      <c r="R28" s="7">
        <v>2</v>
      </c>
      <c r="S28" s="7" t="s">
        <v>216</v>
      </c>
      <c r="T28" s="19" t="s">
        <v>869</v>
      </c>
      <c r="U28" s="7"/>
      <c r="V28" s="7"/>
      <c r="W28" s="7"/>
      <c r="X28" s="7"/>
      <c r="Y28" s="7"/>
      <c r="Z28" s="7"/>
      <c r="AA28" s="7"/>
      <c r="AB28" s="7" t="str">
        <f t="shared" si="0"/>
        <v/>
      </c>
      <c r="AC28" s="7" t="str">
        <f t="shared" si="1"/>
        <v>NO</v>
      </c>
      <c r="AD28" s="12"/>
    </row>
    <row r="29" spans="1:30" ht="30">
      <c r="A29" s="11" t="s">
        <v>217</v>
      </c>
      <c r="B29" s="7" t="s">
        <v>218</v>
      </c>
      <c r="C29" s="7" t="s">
        <v>190</v>
      </c>
      <c r="D29" s="7" t="s">
        <v>58</v>
      </c>
      <c r="E29" s="7" t="s">
        <v>59</v>
      </c>
      <c r="F29" s="7" t="s">
        <v>76</v>
      </c>
      <c r="G29" s="7" t="s">
        <v>61</v>
      </c>
      <c r="H29" s="7" t="s">
        <v>219</v>
      </c>
      <c r="I29" s="7"/>
      <c r="J29" s="7"/>
      <c r="K29" s="7" t="s">
        <v>220</v>
      </c>
      <c r="L29" s="7" t="s">
        <v>221</v>
      </c>
      <c r="M29" s="7" t="s">
        <v>222</v>
      </c>
      <c r="N29" s="7"/>
      <c r="O29" s="7"/>
      <c r="P29" s="7"/>
      <c r="Q29" s="7"/>
      <c r="R29" s="7">
        <v>2</v>
      </c>
      <c r="S29" s="7" t="s">
        <v>113</v>
      </c>
      <c r="T29" s="19" t="s">
        <v>869</v>
      </c>
      <c r="U29" s="7"/>
      <c r="V29" s="7"/>
      <c r="W29" s="7"/>
      <c r="X29" s="7"/>
      <c r="Y29" s="7"/>
      <c r="Z29" s="7"/>
      <c r="AA29" s="7"/>
      <c r="AB29" s="7" t="str">
        <f t="shared" si="0"/>
        <v/>
      </c>
      <c r="AC29" s="7" t="str">
        <f t="shared" si="1"/>
        <v>NO</v>
      </c>
      <c r="AD29" s="12"/>
    </row>
    <row r="30" spans="1:30" ht="60">
      <c r="A30" s="11" t="s">
        <v>223</v>
      </c>
      <c r="B30" s="7" t="s">
        <v>224</v>
      </c>
      <c r="C30" s="7" t="s">
        <v>190</v>
      </c>
      <c r="D30" s="7" t="s">
        <v>58</v>
      </c>
      <c r="E30" s="7" t="s">
        <v>59</v>
      </c>
      <c r="F30" s="7" t="s">
        <v>76</v>
      </c>
      <c r="G30" s="7" t="s">
        <v>61</v>
      </c>
      <c r="H30" s="7" t="s">
        <v>225</v>
      </c>
      <c r="I30" s="7"/>
      <c r="J30" s="7"/>
      <c r="K30" s="7" t="s">
        <v>226</v>
      </c>
      <c r="L30" s="7" t="s">
        <v>227</v>
      </c>
      <c r="M30" s="7" t="s">
        <v>228</v>
      </c>
      <c r="N30" s="7"/>
      <c r="O30" s="7"/>
      <c r="P30" s="7"/>
      <c r="Q30" s="7"/>
      <c r="R30" s="7">
        <v>3</v>
      </c>
      <c r="S30" s="7" t="s">
        <v>125</v>
      </c>
      <c r="T30" s="19" t="s">
        <v>869</v>
      </c>
      <c r="U30" s="7"/>
      <c r="V30" s="7"/>
      <c r="W30" s="7"/>
      <c r="X30" s="7"/>
      <c r="Y30" s="7"/>
      <c r="Z30" s="7"/>
      <c r="AA30" s="7"/>
      <c r="AB30" s="7" t="str">
        <f t="shared" si="0"/>
        <v/>
      </c>
      <c r="AC30" s="7" t="str">
        <f t="shared" si="1"/>
        <v>NO</v>
      </c>
      <c r="AD30" s="12"/>
    </row>
    <row r="31" spans="1:30" ht="45">
      <c r="A31" s="11" t="s">
        <v>229</v>
      </c>
      <c r="B31" s="7" t="s">
        <v>224</v>
      </c>
      <c r="C31" s="7" t="s">
        <v>190</v>
      </c>
      <c r="D31" s="7" t="s">
        <v>58</v>
      </c>
      <c r="E31" s="7" t="s">
        <v>59</v>
      </c>
      <c r="F31" s="7" t="s">
        <v>76</v>
      </c>
      <c r="G31" s="7" t="s">
        <v>61</v>
      </c>
      <c r="H31" s="7" t="s">
        <v>225</v>
      </c>
      <c r="I31" s="7"/>
      <c r="J31" s="7"/>
      <c r="K31" s="7" t="s">
        <v>226</v>
      </c>
      <c r="L31" s="7" t="s">
        <v>230</v>
      </c>
      <c r="M31" s="7" t="s">
        <v>228</v>
      </c>
      <c r="N31" s="7"/>
      <c r="O31" s="7"/>
      <c r="P31" s="7"/>
      <c r="Q31" s="7"/>
      <c r="R31" s="7">
        <v>1</v>
      </c>
      <c r="S31" s="7" t="s">
        <v>67</v>
      </c>
      <c r="T31" s="19" t="s">
        <v>869</v>
      </c>
      <c r="U31" s="7"/>
      <c r="V31" s="7"/>
      <c r="W31" s="7"/>
      <c r="X31" s="7"/>
      <c r="Y31" s="7"/>
      <c r="Z31" s="7"/>
      <c r="AA31" s="7"/>
      <c r="AB31" s="7" t="str">
        <f t="shared" si="0"/>
        <v/>
      </c>
      <c r="AC31" s="7" t="str">
        <f t="shared" si="1"/>
        <v>NO</v>
      </c>
      <c r="AD31" s="12"/>
    </row>
    <row r="32" spans="1:30" ht="45">
      <c r="A32" s="11" t="s">
        <v>231</v>
      </c>
      <c r="B32" s="7" t="s">
        <v>232</v>
      </c>
      <c r="C32" s="7" t="s">
        <v>190</v>
      </c>
      <c r="D32" s="7" t="s">
        <v>58</v>
      </c>
      <c r="E32" s="7" t="s">
        <v>59</v>
      </c>
      <c r="F32" s="7" t="s">
        <v>94</v>
      </c>
      <c r="G32" s="7" t="s">
        <v>61</v>
      </c>
      <c r="H32" s="7" t="s">
        <v>233</v>
      </c>
      <c r="I32" s="7"/>
      <c r="J32" s="7"/>
      <c r="K32" s="7" t="s">
        <v>203</v>
      </c>
      <c r="L32" s="7" t="s">
        <v>234</v>
      </c>
      <c r="M32" s="7" t="s">
        <v>235</v>
      </c>
      <c r="N32" s="7"/>
      <c r="O32" s="7"/>
      <c r="P32" s="7"/>
      <c r="Q32" s="7"/>
      <c r="R32" s="7">
        <v>1</v>
      </c>
      <c r="S32" s="7" t="s">
        <v>67</v>
      </c>
      <c r="T32" s="19" t="s">
        <v>869</v>
      </c>
      <c r="U32" s="7"/>
      <c r="V32" s="7"/>
      <c r="W32" s="7"/>
      <c r="X32" s="7"/>
      <c r="Y32" s="7"/>
      <c r="Z32" s="7"/>
      <c r="AA32" s="7"/>
      <c r="AB32" s="7" t="str">
        <f t="shared" si="0"/>
        <v/>
      </c>
      <c r="AC32" s="7" t="str">
        <f t="shared" si="1"/>
        <v>NO</v>
      </c>
      <c r="AD32" s="12"/>
    </row>
    <row r="33" spans="1:30" ht="30">
      <c r="A33" s="11" t="s">
        <v>236</v>
      </c>
      <c r="B33" s="7" t="s">
        <v>237</v>
      </c>
      <c r="C33" s="7" t="s">
        <v>190</v>
      </c>
      <c r="D33" s="7" t="s">
        <v>58</v>
      </c>
      <c r="E33" s="7" t="s">
        <v>59</v>
      </c>
      <c r="F33" s="7" t="s">
        <v>76</v>
      </c>
      <c r="G33" s="7" t="s">
        <v>61</v>
      </c>
      <c r="H33" s="7" t="s">
        <v>238</v>
      </c>
      <c r="I33" s="7"/>
      <c r="J33" s="7"/>
      <c r="K33" s="7" t="s">
        <v>239</v>
      </c>
      <c r="L33" s="7" t="s">
        <v>240</v>
      </c>
      <c r="M33" s="7" t="s">
        <v>241</v>
      </c>
      <c r="N33" s="7"/>
      <c r="O33" s="7"/>
      <c r="P33" s="7"/>
      <c r="Q33" s="7"/>
      <c r="R33" s="7">
        <v>2</v>
      </c>
      <c r="S33" s="7" t="s">
        <v>143</v>
      </c>
      <c r="T33" s="19" t="s">
        <v>869</v>
      </c>
      <c r="U33" s="7"/>
      <c r="V33" s="7"/>
      <c r="W33" s="7"/>
      <c r="X33" s="7"/>
      <c r="Y33" s="7"/>
      <c r="Z33" s="7"/>
      <c r="AA33" s="7"/>
      <c r="AB33" s="7" t="str">
        <f t="shared" si="0"/>
        <v/>
      </c>
      <c r="AC33" s="7" t="str">
        <f t="shared" si="1"/>
        <v>NO</v>
      </c>
      <c r="AD33" s="12"/>
    </row>
    <row r="34" spans="1:30" ht="45">
      <c r="A34" s="11" t="s">
        <v>242</v>
      </c>
      <c r="B34" s="7" t="s">
        <v>243</v>
      </c>
      <c r="C34" s="7" t="s">
        <v>190</v>
      </c>
      <c r="D34" s="7" t="s">
        <v>58</v>
      </c>
      <c r="E34" s="7" t="s">
        <v>59</v>
      </c>
      <c r="F34" s="7" t="s">
        <v>94</v>
      </c>
      <c r="G34" s="7" t="s">
        <v>61</v>
      </c>
      <c r="H34" s="7" t="s">
        <v>244</v>
      </c>
      <c r="I34" s="7"/>
      <c r="J34" s="7"/>
      <c r="K34" s="7" t="s">
        <v>245</v>
      </c>
      <c r="L34" s="7" t="s">
        <v>246</v>
      </c>
      <c r="M34" s="7" t="s">
        <v>247</v>
      </c>
      <c r="N34" s="7"/>
      <c r="O34" s="7"/>
      <c r="P34" s="7"/>
      <c r="Q34" s="7"/>
      <c r="R34" s="7">
        <v>1</v>
      </c>
      <c r="S34" s="7" t="s">
        <v>67</v>
      </c>
      <c r="T34" s="19" t="s">
        <v>869</v>
      </c>
      <c r="U34" s="7"/>
      <c r="V34" s="7"/>
      <c r="W34" s="7"/>
      <c r="X34" s="7"/>
      <c r="Y34" s="7"/>
      <c r="Z34" s="7"/>
      <c r="AA34" s="7"/>
      <c r="AB34" s="7" t="str">
        <f t="shared" ref="AB34:AB65" si="2">IF(AND(S34&lt;&gt;"",V34&lt;&gt;"",S34&lt;&gt;V34),"REVIEW","")</f>
        <v/>
      </c>
      <c r="AC34" s="7" t="str">
        <f t="shared" ref="AC34:AC65" si="3">IF(Y34&lt;&gt;"","YES","NO")</f>
        <v>NO</v>
      </c>
      <c r="AD34" s="12"/>
    </row>
    <row r="35" spans="1:30" ht="60">
      <c r="A35" s="11" t="s">
        <v>248</v>
      </c>
      <c r="B35" s="7" t="s">
        <v>249</v>
      </c>
      <c r="C35" s="7" t="s">
        <v>190</v>
      </c>
      <c r="D35" s="7" t="s">
        <v>58</v>
      </c>
      <c r="E35" s="7" t="s">
        <v>116</v>
      </c>
      <c r="F35" s="7" t="s">
        <v>94</v>
      </c>
      <c r="G35" s="7" t="s">
        <v>146</v>
      </c>
      <c r="H35" s="7" t="s">
        <v>250</v>
      </c>
      <c r="I35" s="7" t="s">
        <v>251</v>
      </c>
      <c r="J35" s="7" t="s">
        <v>252</v>
      </c>
      <c r="K35" s="7" t="s">
        <v>253</v>
      </c>
      <c r="L35" s="7" t="s">
        <v>254</v>
      </c>
      <c r="M35" s="7" t="s">
        <v>254</v>
      </c>
      <c r="N35" s="7"/>
      <c r="O35" s="7" t="s">
        <v>255</v>
      </c>
      <c r="P35" s="7" t="s">
        <v>256</v>
      </c>
      <c r="Q35" s="7" t="s">
        <v>154</v>
      </c>
      <c r="R35" s="7">
        <v>1</v>
      </c>
      <c r="S35" s="7" t="s">
        <v>67</v>
      </c>
      <c r="T35" s="19" t="s">
        <v>869</v>
      </c>
      <c r="U35" s="7"/>
      <c r="V35" s="7" t="s">
        <v>891</v>
      </c>
      <c r="W35" s="7"/>
      <c r="X35" s="7"/>
      <c r="Y35" s="7"/>
      <c r="Z35" s="7"/>
      <c r="AA35" s="7"/>
      <c r="AB35" s="7" t="str">
        <f t="shared" si="2"/>
        <v>REVIEW</v>
      </c>
      <c r="AC35" s="7" t="str">
        <f t="shared" si="3"/>
        <v>NO</v>
      </c>
      <c r="AD35" s="12"/>
    </row>
    <row r="36" spans="1:30" ht="45">
      <c r="A36" s="11" t="s">
        <v>257</v>
      </c>
      <c r="B36" s="7" t="s">
        <v>249</v>
      </c>
      <c r="C36" s="7" t="s">
        <v>190</v>
      </c>
      <c r="D36" s="7" t="s">
        <v>58</v>
      </c>
      <c r="E36" s="7" t="s">
        <v>116</v>
      </c>
      <c r="F36" s="7" t="s">
        <v>94</v>
      </c>
      <c r="G36" s="7" t="s">
        <v>146</v>
      </c>
      <c r="H36" s="7" t="s">
        <v>250</v>
      </c>
      <c r="I36" s="7" t="s">
        <v>251</v>
      </c>
      <c r="J36" s="7" t="s">
        <v>252</v>
      </c>
      <c r="K36" s="7" t="s">
        <v>253</v>
      </c>
      <c r="L36" s="7" t="s">
        <v>254</v>
      </c>
      <c r="M36" s="7" t="s">
        <v>254</v>
      </c>
      <c r="N36" s="7"/>
      <c r="O36" s="7" t="s">
        <v>258</v>
      </c>
      <c r="P36" s="7" t="s">
        <v>256</v>
      </c>
      <c r="Q36" s="7" t="s">
        <v>154</v>
      </c>
      <c r="R36" s="7">
        <v>1</v>
      </c>
      <c r="S36" s="7" t="s">
        <v>91</v>
      </c>
      <c r="T36" s="19" t="s">
        <v>869</v>
      </c>
      <c r="U36" s="7"/>
      <c r="V36" s="7" t="s">
        <v>891</v>
      </c>
      <c r="W36" s="7"/>
      <c r="X36" s="7"/>
      <c r="Y36" s="7"/>
      <c r="Z36" s="7"/>
      <c r="AA36" s="7"/>
      <c r="AB36" s="7" t="str">
        <f t="shared" si="2"/>
        <v>REVIEW</v>
      </c>
      <c r="AC36" s="7" t="str">
        <f t="shared" si="3"/>
        <v>NO</v>
      </c>
      <c r="AD36" s="12"/>
    </row>
    <row r="37" spans="1:30" ht="45">
      <c r="A37" s="11" t="s">
        <v>259</v>
      </c>
      <c r="B37" s="7" t="s">
        <v>249</v>
      </c>
      <c r="C37" s="7" t="s">
        <v>190</v>
      </c>
      <c r="D37" s="7" t="s">
        <v>58</v>
      </c>
      <c r="E37" s="7" t="s">
        <v>116</v>
      </c>
      <c r="F37" s="7" t="s">
        <v>94</v>
      </c>
      <c r="G37" s="7" t="s">
        <v>146</v>
      </c>
      <c r="H37" s="7" t="s">
        <v>250</v>
      </c>
      <c r="I37" s="7" t="s">
        <v>251</v>
      </c>
      <c r="J37" s="7" t="s">
        <v>252</v>
      </c>
      <c r="K37" s="7" t="s">
        <v>253</v>
      </c>
      <c r="L37" s="7" t="s">
        <v>254</v>
      </c>
      <c r="M37" s="7" t="s">
        <v>254</v>
      </c>
      <c r="N37" s="7"/>
      <c r="O37" s="7" t="s">
        <v>260</v>
      </c>
      <c r="P37" s="7" t="s">
        <v>256</v>
      </c>
      <c r="Q37" s="7" t="s">
        <v>154</v>
      </c>
      <c r="R37" s="7">
        <v>1</v>
      </c>
      <c r="S37" s="7" t="s">
        <v>155</v>
      </c>
      <c r="T37" s="19" t="s">
        <v>869</v>
      </c>
      <c r="U37" s="7"/>
      <c r="V37" s="7" t="s">
        <v>891</v>
      </c>
      <c r="W37" s="7"/>
      <c r="X37" s="7"/>
      <c r="Y37" s="7"/>
      <c r="Z37" s="7"/>
      <c r="AA37" s="7"/>
      <c r="AB37" s="7" t="str">
        <f t="shared" si="2"/>
        <v>REVIEW</v>
      </c>
      <c r="AC37" s="7" t="str">
        <f t="shared" si="3"/>
        <v>NO</v>
      </c>
      <c r="AD37" s="12"/>
    </row>
    <row r="38" spans="1:30" ht="60">
      <c r="A38" s="11" t="s">
        <v>261</v>
      </c>
      <c r="B38" s="7" t="s">
        <v>262</v>
      </c>
      <c r="C38" s="7" t="s">
        <v>190</v>
      </c>
      <c r="D38" s="7" t="s">
        <v>58</v>
      </c>
      <c r="E38" s="7" t="s">
        <v>59</v>
      </c>
      <c r="F38" s="7" t="s">
        <v>94</v>
      </c>
      <c r="G38" s="7" t="s">
        <v>61</v>
      </c>
      <c r="H38" s="7" t="s">
        <v>263</v>
      </c>
      <c r="I38" s="7"/>
      <c r="J38" s="7"/>
      <c r="K38" s="7" t="s">
        <v>264</v>
      </c>
      <c r="L38" s="7" t="s">
        <v>265</v>
      </c>
      <c r="M38" s="7" t="s">
        <v>266</v>
      </c>
      <c r="N38" s="7"/>
      <c r="O38" s="7"/>
      <c r="P38" s="7"/>
      <c r="Q38" s="7"/>
      <c r="R38" s="7">
        <v>1</v>
      </c>
      <c r="S38" s="7" t="s">
        <v>155</v>
      </c>
      <c r="T38" s="7"/>
      <c r="U38" s="7"/>
      <c r="V38" s="7" t="s">
        <v>892</v>
      </c>
      <c r="W38" s="7"/>
      <c r="X38" s="7"/>
      <c r="Y38" s="7"/>
      <c r="Z38" s="7"/>
      <c r="AA38" s="7"/>
      <c r="AB38" s="7" t="str">
        <f t="shared" si="2"/>
        <v>REVIEW</v>
      </c>
      <c r="AC38" s="7" t="str">
        <f t="shared" si="3"/>
        <v>NO</v>
      </c>
      <c r="AD38" s="12"/>
    </row>
    <row r="39" spans="1:30" ht="60">
      <c r="A39" s="11" t="s">
        <v>267</v>
      </c>
      <c r="B39" s="7" t="s">
        <v>262</v>
      </c>
      <c r="C39" s="7" t="s">
        <v>190</v>
      </c>
      <c r="D39" s="7" t="s">
        <v>58</v>
      </c>
      <c r="E39" s="7" t="s">
        <v>59</v>
      </c>
      <c r="F39" s="7" t="s">
        <v>94</v>
      </c>
      <c r="G39" s="7" t="s">
        <v>61</v>
      </c>
      <c r="H39" s="7" t="s">
        <v>263</v>
      </c>
      <c r="I39" s="7"/>
      <c r="J39" s="7"/>
      <c r="K39" s="7" t="s">
        <v>264</v>
      </c>
      <c r="L39" s="7" t="s">
        <v>268</v>
      </c>
      <c r="M39" s="7" t="s">
        <v>266</v>
      </c>
      <c r="N39" s="7"/>
      <c r="O39" s="7"/>
      <c r="P39" s="7"/>
      <c r="Q39" s="7"/>
      <c r="R39" s="7">
        <v>1</v>
      </c>
      <c r="S39" s="7" t="s">
        <v>67</v>
      </c>
      <c r="T39" s="7"/>
      <c r="U39" s="7"/>
      <c r="V39" s="7" t="s">
        <v>892</v>
      </c>
      <c r="W39" s="7"/>
      <c r="X39" s="7"/>
      <c r="Y39" s="7"/>
      <c r="Z39" s="7"/>
      <c r="AA39" s="7"/>
      <c r="AB39" s="7" t="str">
        <f t="shared" si="2"/>
        <v>REVIEW</v>
      </c>
      <c r="AC39" s="7" t="str">
        <f t="shared" si="3"/>
        <v>NO</v>
      </c>
      <c r="AD39" s="12"/>
    </row>
    <row r="40" spans="1:30" ht="90">
      <c r="A40" s="11" t="s">
        <v>269</v>
      </c>
      <c r="B40" s="7" t="s">
        <v>270</v>
      </c>
      <c r="C40" s="7" t="s">
        <v>190</v>
      </c>
      <c r="D40" s="7" t="s">
        <v>58</v>
      </c>
      <c r="E40" s="7" t="s">
        <v>116</v>
      </c>
      <c r="F40" s="7" t="s">
        <v>76</v>
      </c>
      <c r="G40" s="7" t="s">
        <v>61</v>
      </c>
      <c r="H40" s="7" t="s">
        <v>271</v>
      </c>
      <c r="I40" s="7" t="s">
        <v>272</v>
      </c>
      <c r="J40" s="7" t="s">
        <v>273</v>
      </c>
      <c r="K40" s="7" t="s">
        <v>274</v>
      </c>
      <c r="L40" s="7" t="s">
        <v>275</v>
      </c>
      <c r="M40" s="7" t="s">
        <v>276</v>
      </c>
      <c r="N40" s="7"/>
      <c r="O40" s="7" t="s">
        <v>277</v>
      </c>
      <c r="P40" s="7" t="s">
        <v>278</v>
      </c>
      <c r="Q40" s="7" t="s">
        <v>279</v>
      </c>
      <c r="R40" s="7">
        <v>1</v>
      </c>
      <c r="S40" s="7" t="s">
        <v>139</v>
      </c>
      <c r="T40" s="7"/>
      <c r="U40" s="7"/>
      <c r="V40" s="7" t="s">
        <v>889</v>
      </c>
      <c r="W40" s="7"/>
      <c r="X40" s="7"/>
      <c r="Y40" s="7"/>
      <c r="Z40" s="7"/>
      <c r="AA40" s="7"/>
      <c r="AB40" s="7" t="str">
        <f t="shared" si="2"/>
        <v>REVIEW</v>
      </c>
      <c r="AC40" s="7" t="str">
        <f t="shared" si="3"/>
        <v>NO</v>
      </c>
      <c r="AD40" s="12"/>
    </row>
    <row r="41" spans="1:30" ht="45">
      <c r="A41" s="11" t="s">
        <v>280</v>
      </c>
      <c r="B41" s="7" t="s">
        <v>281</v>
      </c>
      <c r="C41" s="7" t="s">
        <v>190</v>
      </c>
      <c r="D41" s="7" t="s">
        <v>58</v>
      </c>
      <c r="E41" s="7" t="s">
        <v>59</v>
      </c>
      <c r="F41" s="7" t="s">
        <v>94</v>
      </c>
      <c r="G41" s="7" t="s">
        <v>61</v>
      </c>
      <c r="H41" s="7" t="s">
        <v>282</v>
      </c>
      <c r="I41" s="7"/>
      <c r="J41" s="7"/>
      <c r="K41" s="7" t="s">
        <v>283</v>
      </c>
      <c r="L41" s="7" t="s">
        <v>284</v>
      </c>
      <c r="M41" s="7" t="s">
        <v>285</v>
      </c>
      <c r="N41" s="7"/>
      <c r="O41" s="7"/>
      <c r="P41" s="7"/>
      <c r="Q41" s="7" t="s">
        <v>66</v>
      </c>
      <c r="R41" s="7">
        <v>2</v>
      </c>
      <c r="S41" s="7" t="s">
        <v>113</v>
      </c>
      <c r="T41" s="7" t="s">
        <v>869</v>
      </c>
      <c r="U41" s="7"/>
      <c r="V41" s="7"/>
      <c r="W41" s="7"/>
      <c r="X41" s="7"/>
      <c r="Y41" s="7"/>
      <c r="Z41" s="7"/>
      <c r="AA41" s="7"/>
      <c r="AB41" s="7" t="str">
        <f t="shared" si="2"/>
        <v/>
      </c>
      <c r="AC41" s="7" t="str">
        <f t="shared" si="3"/>
        <v>NO</v>
      </c>
      <c r="AD41" s="12"/>
    </row>
    <row r="42" spans="1:30" ht="60">
      <c r="A42" s="11" t="s">
        <v>286</v>
      </c>
      <c r="B42" s="7" t="s">
        <v>287</v>
      </c>
      <c r="C42" s="7" t="s">
        <v>288</v>
      </c>
      <c r="D42" s="7" t="s">
        <v>191</v>
      </c>
      <c r="E42" s="7" t="s">
        <v>59</v>
      </c>
      <c r="F42" s="7" t="s">
        <v>76</v>
      </c>
      <c r="G42" s="7" t="s">
        <v>61</v>
      </c>
      <c r="H42" s="7" t="s">
        <v>289</v>
      </c>
      <c r="I42" s="7"/>
      <c r="J42" s="7"/>
      <c r="K42" s="7" t="s">
        <v>290</v>
      </c>
      <c r="L42" s="7" t="s">
        <v>291</v>
      </c>
      <c r="M42" s="7" t="s">
        <v>292</v>
      </c>
      <c r="N42" s="7"/>
      <c r="O42" s="7"/>
      <c r="P42" s="7"/>
      <c r="Q42" s="7"/>
      <c r="R42" s="7">
        <v>1</v>
      </c>
      <c r="S42" s="7" t="s">
        <v>67</v>
      </c>
      <c r="T42" s="7"/>
      <c r="U42" s="7"/>
      <c r="V42" s="7"/>
      <c r="W42" s="7"/>
      <c r="X42" s="7"/>
      <c r="Y42" s="7"/>
      <c r="Z42" s="7"/>
      <c r="AA42" s="7"/>
      <c r="AB42" s="7" t="str">
        <f t="shared" si="2"/>
        <v/>
      </c>
      <c r="AC42" s="7" t="str">
        <f t="shared" si="3"/>
        <v>NO</v>
      </c>
      <c r="AD42" s="12"/>
    </row>
    <row r="43" spans="1:30" ht="60">
      <c r="A43" s="11" t="s">
        <v>293</v>
      </c>
      <c r="B43" s="7" t="s">
        <v>294</v>
      </c>
      <c r="C43" s="7" t="s">
        <v>288</v>
      </c>
      <c r="D43" s="7" t="s">
        <v>191</v>
      </c>
      <c r="E43" s="7" t="s">
        <v>59</v>
      </c>
      <c r="F43" s="7" t="s">
        <v>60</v>
      </c>
      <c r="G43" s="7" t="s">
        <v>61</v>
      </c>
      <c r="H43" s="7" t="s">
        <v>295</v>
      </c>
      <c r="I43" s="7"/>
      <c r="J43" s="7"/>
      <c r="K43" s="7" t="s">
        <v>296</v>
      </c>
      <c r="L43" s="7" t="s">
        <v>297</v>
      </c>
      <c r="M43" s="7" t="s">
        <v>298</v>
      </c>
      <c r="N43" s="7"/>
      <c r="O43" s="7"/>
      <c r="P43" s="7"/>
      <c r="Q43" s="7"/>
      <c r="R43" s="7">
        <v>1</v>
      </c>
      <c r="S43" s="7" t="s">
        <v>67</v>
      </c>
      <c r="T43" s="7" t="s">
        <v>870</v>
      </c>
      <c r="U43" s="7"/>
      <c r="V43" s="7"/>
      <c r="W43" s="7"/>
      <c r="X43" s="7"/>
      <c r="Y43" s="7"/>
      <c r="Z43" s="7"/>
      <c r="AA43" s="7"/>
      <c r="AB43" s="7" t="str">
        <f t="shared" si="2"/>
        <v/>
      </c>
      <c r="AC43" s="7" t="str">
        <f t="shared" si="3"/>
        <v>NO</v>
      </c>
      <c r="AD43" s="12"/>
    </row>
    <row r="44" spans="1:30" ht="60">
      <c r="A44" s="11" t="s">
        <v>299</v>
      </c>
      <c r="B44" s="7" t="s">
        <v>300</v>
      </c>
      <c r="C44" s="7" t="s">
        <v>288</v>
      </c>
      <c r="D44" s="7" t="s">
        <v>191</v>
      </c>
      <c r="E44" s="7" t="s">
        <v>59</v>
      </c>
      <c r="F44" s="7" t="s">
        <v>60</v>
      </c>
      <c r="G44" s="7" t="s">
        <v>61</v>
      </c>
      <c r="H44" s="7" t="s">
        <v>301</v>
      </c>
      <c r="I44" s="7"/>
      <c r="J44" s="7"/>
      <c r="K44" s="7" t="s">
        <v>302</v>
      </c>
      <c r="L44" s="7" t="s">
        <v>303</v>
      </c>
      <c r="M44" s="7" t="s">
        <v>304</v>
      </c>
      <c r="N44" s="7"/>
      <c r="O44" s="7"/>
      <c r="P44" s="7"/>
      <c r="Q44" s="7"/>
      <c r="R44" s="7">
        <v>1</v>
      </c>
      <c r="S44" s="7" t="s">
        <v>67</v>
      </c>
      <c r="T44" s="7"/>
      <c r="U44" s="7"/>
      <c r="V44" s="7" t="s">
        <v>893</v>
      </c>
      <c r="W44" s="7"/>
      <c r="X44" s="7"/>
      <c r="Y44" s="7"/>
      <c r="Z44" s="7"/>
      <c r="AA44" s="7"/>
      <c r="AB44" s="7" t="str">
        <f t="shared" si="2"/>
        <v>REVIEW</v>
      </c>
      <c r="AC44" s="7" t="str">
        <f t="shared" si="3"/>
        <v>NO</v>
      </c>
      <c r="AD44" s="12"/>
    </row>
    <row r="45" spans="1:30" ht="60">
      <c r="A45" s="11" t="s">
        <v>305</v>
      </c>
      <c r="B45" s="7" t="s">
        <v>300</v>
      </c>
      <c r="C45" s="7" t="s">
        <v>288</v>
      </c>
      <c r="D45" s="7" t="s">
        <v>191</v>
      </c>
      <c r="E45" s="7" t="s">
        <v>59</v>
      </c>
      <c r="F45" s="7" t="s">
        <v>60</v>
      </c>
      <c r="G45" s="7" t="s">
        <v>61</v>
      </c>
      <c r="H45" s="7" t="s">
        <v>301</v>
      </c>
      <c r="I45" s="7"/>
      <c r="J45" s="7"/>
      <c r="K45" s="7" t="s">
        <v>302</v>
      </c>
      <c r="L45" s="7" t="s">
        <v>306</v>
      </c>
      <c r="M45" s="7" t="s">
        <v>304</v>
      </c>
      <c r="N45" s="7"/>
      <c r="O45" s="7"/>
      <c r="P45" s="7"/>
      <c r="Q45" s="7"/>
      <c r="R45" s="7">
        <v>1</v>
      </c>
      <c r="S45" s="7" t="s">
        <v>155</v>
      </c>
      <c r="T45" s="7"/>
      <c r="U45" s="7"/>
      <c r="V45" s="7"/>
      <c r="W45" s="7"/>
      <c r="X45" s="7"/>
      <c r="Y45" s="7"/>
      <c r="Z45" s="7"/>
      <c r="AA45" s="7"/>
      <c r="AB45" s="7" t="str">
        <f t="shared" si="2"/>
        <v/>
      </c>
      <c r="AC45" s="7" t="str">
        <f t="shared" si="3"/>
        <v>NO</v>
      </c>
      <c r="AD45" s="12"/>
    </row>
    <row r="46" spans="1:30" ht="60">
      <c r="A46" s="11" t="s">
        <v>307</v>
      </c>
      <c r="B46" s="7" t="s">
        <v>308</v>
      </c>
      <c r="C46" s="7" t="s">
        <v>288</v>
      </c>
      <c r="D46" s="7" t="s">
        <v>58</v>
      </c>
      <c r="E46" s="7" t="s">
        <v>59</v>
      </c>
      <c r="F46" s="7" t="s">
        <v>76</v>
      </c>
      <c r="G46" s="7" t="s">
        <v>61</v>
      </c>
      <c r="H46" s="7" t="s">
        <v>309</v>
      </c>
      <c r="I46" s="7"/>
      <c r="J46" s="7"/>
      <c r="K46" s="7" t="s">
        <v>310</v>
      </c>
      <c r="L46" s="7" t="s">
        <v>311</v>
      </c>
      <c r="M46" s="7" t="s">
        <v>312</v>
      </c>
      <c r="N46" s="7"/>
      <c r="O46" s="7"/>
      <c r="P46" s="7"/>
      <c r="Q46" s="7"/>
      <c r="R46" s="7">
        <v>2</v>
      </c>
      <c r="S46" s="7" t="s">
        <v>143</v>
      </c>
      <c r="T46" s="7" t="s">
        <v>869</v>
      </c>
      <c r="U46" s="7"/>
      <c r="V46" s="7"/>
      <c r="W46" s="7"/>
      <c r="X46" s="7"/>
      <c r="Y46" s="7"/>
      <c r="Z46" s="7"/>
      <c r="AA46" s="7"/>
      <c r="AB46" s="7" t="str">
        <f t="shared" si="2"/>
        <v/>
      </c>
      <c r="AC46" s="7" t="str">
        <f t="shared" si="3"/>
        <v>NO</v>
      </c>
      <c r="AD46" s="12"/>
    </row>
    <row r="47" spans="1:30" ht="60">
      <c r="A47" s="11" t="s">
        <v>313</v>
      </c>
      <c r="B47" s="7" t="s">
        <v>314</v>
      </c>
      <c r="C47" s="7" t="s">
        <v>288</v>
      </c>
      <c r="D47" s="7" t="s">
        <v>58</v>
      </c>
      <c r="E47" s="7" t="s">
        <v>59</v>
      </c>
      <c r="F47" s="7" t="s">
        <v>76</v>
      </c>
      <c r="G47" s="7" t="s">
        <v>61</v>
      </c>
      <c r="H47" s="7" t="s">
        <v>315</v>
      </c>
      <c r="I47" s="7"/>
      <c r="J47" s="7"/>
      <c r="K47" s="7" t="s">
        <v>316</v>
      </c>
      <c r="L47" s="7" t="s">
        <v>317</v>
      </c>
      <c r="M47" s="7" t="s">
        <v>318</v>
      </c>
      <c r="N47" s="7"/>
      <c r="O47" s="7"/>
      <c r="P47" s="7"/>
      <c r="Q47" s="7" t="s">
        <v>66</v>
      </c>
      <c r="R47" s="7">
        <v>1</v>
      </c>
      <c r="S47" s="7" t="s">
        <v>139</v>
      </c>
      <c r="T47" s="7" t="s">
        <v>869</v>
      </c>
      <c r="U47" s="7"/>
      <c r="V47" s="7"/>
      <c r="W47" s="7"/>
      <c r="X47" s="7"/>
      <c r="Y47" s="7"/>
      <c r="Z47" s="7"/>
      <c r="AA47" s="7"/>
      <c r="AB47" s="7" t="str">
        <f t="shared" si="2"/>
        <v/>
      </c>
      <c r="AC47" s="7" t="str">
        <f t="shared" si="3"/>
        <v>NO</v>
      </c>
      <c r="AD47" s="12"/>
    </row>
    <row r="48" spans="1:30" ht="60">
      <c r="A48" s="11" t="s">
        <v>319</v>
      </c>
      <c r="B48" s="7" t="s">
        <v>314</v>
      </c>
      <c r="C48" s="7" t="s">
        <v>288</v>
      </c>
      <c r="D48" s="7" t="s">
        <v>58</v>
      </c>
      <c r="E48" s="7" t="s">
        <v>59</v>
      </c>
      <c r="F48" s="7" t="s">
        <v>76</v>
      </c>
      <c r="G48" s="7" t="s">
        <v>61</v>
      </c>
      <c r="H48" s="7" t="s">
        <v>315</v>
      </c>
      <c r="I48" s="7"/>
      <c r="J48" s="7"/>
      <c r="K48" s="7" t="s">
        <v>316</v>
      </c>
      <c r="L48" s="7" t="s">
        <v>320</v>
      </c>
      <c r="M48" s="7" t="s">
        <v>318</v>
      </c>
      <c r="N48" s="7"/>
      <c r="O48" s="7"/>
      <c r="P48" s="7"/>
      <c r="Q48" s="7" t="s">
        <v>66</v>
      </c>
      <c r="R48" s="7">
        <v>2</v>
      </c>
      <c r="S48" s="7" t="s">
        <v>321</v>
      </c>
      <c r="T48" s="19" t="s">
        <v>869</v>
      </c>
      <c r="U48" s="7"/>
      <c r="V48" s="7"/>
      <c r="W48" s="7"/>
      <c r="X48" s="7"/>
      <c r="Y48" s="7"/>
      <c r="Z48" s="7"/>
      <c r="AA48" s="7"/>
      <c r="AB48" s="7" t="str">
        <f t="shared" si="2"/>
        <v/>
      </c>
      <c r="AC48" s="7" t="str">
        <f t="shared" si="3"/>
        <v>NO</v>
      </c>
      <c r="AD48" s="12"/>
    </row>
    <row r="49" spans="1:30" ht="45">
      <c r="A49" s="11" t="s">
        <v>322</v>
      </c>
      <c r="B49" s="7" t="s">
        <v>323</v>
      </c>
      <c r="C49" s="7" t="s">
        <v>288</v>
      </c>
      <c r="D49" s="7" t="s">
        <v>58</v>
      </c>
      <c r="E49" s="7" t="s">
        <v>59</v>
      </c>
      <c r="F49" s="7" t="s">
        <v>94</v>
      </c>
      <c r="G49" s="7" t="s">
        <v>61</v>
      </c>
      <c r="H49" s="7" t="s">
        <v>324</v>
      </c>
      <c r="I49" s="7"/>
      <c r="J49" s="7"/>
      <c r="K49" s="7" t="s">
        <v>325</v>
      </c>
      <c r="L49" s="7" t="s">
        <v>326</v>
      </c>
      <c r="M49" s="7" t="s">
        <v>327</v>
      </c>
      <c r="N49" s="7"/>
      <c r="O49" s="7"/>
      <c r="P49" s="7"/>
      <c r="Q49" s="7" t="s">
        <v>66</v>
      </c>
      <c r="R49" s="7">
        <v>1</v>
      </c>
      <c r="S49" s="7" t="s">
        <v>67</v>
      </c>
      <c r="T49" s="19" t="s">
        <v>869</v>
      </c>
      <c r="U49" s="7"/>
      <c r="V49" s="7"/>
      <c r="W49" s="7"/>
      <c r="X49" s="7"/>
      <c r="Y49" s="7"/>
      <c r="Z49" s="7"/>
      <c r="AA49" s="7"/>
      <c r="AB49" s="7" t="str">
        <f t="shared" si="2"/>
        <v/>
      </c>
      <c r="AC49" s="7" t="str">
        <f t="shared" si="3"/>
        <v>NO</v>
      </c>
      <c r="AD49" s="12"/>
    </row>
    <row r="50" spans="1:30" ht="30">
      <c r="A50" s="11" t="s">
        <v>328</v>
      </c>
      <c r="B50" s="7" t="s">
        <v>329</v>
      </c>
      <c r="C50" s="7" t="s">
        <v>288</v>
      </c>
      <c r="D50" s="7" t="s">
        <v>58</v>
      </c>
      <c r="E50" s="7" t="s">
        <v>59</v>
      </c>
      <c r="F50" s="7" t="s">
        <v>94</v>
      </c>
      <c r="G50" s="7" t="s">
        <v>61</v>
      </c>
      <c r="H50" s="7" t="s">
        <v>330</v>
      </c>
      <c r="I50" s="7"/>
      <c r="J50" s="7"/>
      <c r="K50" s="7" t="s">
        <v>331</v>
      </c>
      <c r="L50" s="7" t="s">
        <v>332</v>
      </c>
      <c r="M50" s="7" t="s">
        <v>333</v>
      </c>
      <c r="N50" s="7"/>
      <c r="O50" s="7"/>
      <c r="P50" s="7"/>
      <c r="Q50" s="7"/>
      <c r="R50" s="7">
        <v>1</v>
      </c>
      <c r="S50" s="7" t="s">
        <v>67</v>
      </c>
      <c r="T50" s="7"/>
      <c r="U50" s="7"/>
      <c r="V50" s="7" t="s">
        <v>894</v>
      </c>
      <c r="W50" s="7"/>
      <c r="X50" s="7"/>
      <c r="Y50" s="7"/>
      <c r="Z50" s="7"/>
      <c r="AA50" s="7"/>
      <c r="AB50" s="7" t="str">
        <f t="shared" si="2"/>
        <v>REVIEW</v>
      </c>
      <c r="AC50" s="7" t="str">
        <f t="shared" si="3"/>
        <v>NO</v>
      </c>
      <c r="AD50" s="12"/>
    </row>
    <row r="51" spans="1:30" ht="60">
      <c r="A51" s="11" t="s">
        <v>334</v>
      </c>
      <c r="B51" s="7" t="s">
        <v>335</v>
      </c>
      <c r="C51" s="7" t="s">
        <v>288</v>
      </c>
      <c r="D51" s="7" t="s">
        <v>58</v>
      </c>
      <c r="E51" s="7" t="s">
        <v>59</v>
      </c>
      <c r="F51" s="7" t="s">
        <v>94</v>
      </c>
      <c r="G51" s="7" t="s">
        <v>61</v>
      </c>
      <c r="H51" s="7" t="s">
        <v>336</v>
      </c>
      <c r="I51" s="7"/>
      <c r="J51" s="7"/>
      <c r="K51" s="7" t="s">
        <v>337</v>
      </c>
      <c r="L51" s="7" t="s">
        <v>338</v>
      </c>
      <c r="M51" s="7" t="s">
        <v>339</v>
      </c>
      <c r="N51" s="7"/>
      <c r="O51" s="7"/>
      <c r="P51" s="7"/>
      <c r="Q51" s="7"/>
      <c r="R51" s="7">
        <v>1</v>
      </c>
      <c r="S51" s="7" t="s">
        <v>67</v>
      </c>
      <c r="T51" s="7"/>
      <c r="U51" s="7"/>
      <c r="V51" s="7" t="s">
        <v>895</v>
      </c>
      <c r="W51" s="7"/>
      <c r="X51" s="7"/>
      <c r="Y51" s="7"/>
      <c r="Z51" s="7"/>
      <c r="AA51" s="7"/>
      <c r="AB51" s="7" t="str">
        <f t="shared" si="2"/>
        <v>REVIEW</v>
      </c>
      <c r="AC51" s="7" t="str">
        <f t="shared" si="3"/>
        <v>NO</v>
      </c>
      <c r="AD51" s="12"/>
    </row>
    <row r="52" spans="1:30" ht="60">
      <c r="A52" s="11" t="s">
        <v>340</v>
      </c>
      <c r="B52" s="7" t="s">
        <v>341</v>
      </c>
      <c r="C52" s="7" t="s">
        <v>288</v>
      </c>
      <c r="D52" s="7" t="s">
        <v>58</v>
      </c>
      <c r="E52" s="7" t="s">
        <v>116</v>
      </c>
      <c r="F52" s="7" t="s">
        <v>60</v>
      </c>
      <c r="G52" s="7" t="s">
        <v>61</v>
      </c>
      <c r="H52" s="7" t="s">
        <v>342</v>
      </c>
      <c r="I52" s="7" t="s">
        <v>343</v>
      </c>
      <c r="J52" s="7" t="s">
        <v>344</v>
      </c>
      <c r="K52" s="7" t="s">
        <v>345</v>
      </c>
      <c r="L52" s="7" t="s">
        <v>346</v>
      </c>
      <c r="M52" s="7" t="s">
        <v>347</v>
      </c>
      <c r="N52" s="7"/>
      <c r="O52" s="7" t="s">
        <v>348</v>
      </c>
      <c r="P52" s="7" t="s">
        <v>349</v>
      </c>
      <c r="Q52" s="7"/>
      <c r="R52" s="7">
        <v>2</v>
      </c>
      <c r="S52" s="7" t="s">
        <v>113</v>
      </c>
      <c r="T52" s="7"/>
      <c r="U52" s="7"/>
      <c r="V52" s="7" t="s">
        <v>896</v>
      </c>
      <c r="W52" s="7"/>
      <c r="X52" s="7"/>
      <c r="Y52" s="7"/>
      <c r="Z52" s="7"/>
      <c r="AA52" s="7"/>
      <c r="AB52" s="7" t="str">
        <f t="shared" si="2"/>
        <v>REVIEW</v>
      </c>
      <c r="AC52" s="7" t="str">
        <f t="shared" si="3"/>
        <v>NO</v>
      </c>
      <c r="AD52" s="12"/>
    </row>
    <row r="53" spans="1:30" ht="30">
      <c r="A53" s="11" t="s">
        <v>350</v>
      </c>
      <c r="B53" s="7" t="s">
        <v>351</v>
      </c>
      <c r="C53" s="7" t="s">
        <v>288</v>
      </c>
      <c r="D53" s="7" t="s">
        <v>58</v>
      </c>
      <c r="E53" s="7" t="s">
        <v>59</v>
      </c>
      <c r="F53" s="7" t="s">
        <v>60</v>
      </c>
      <c r="G53" s="7" t="s">
        <v>61</v>
      </c>
      <c r="H53" s="7" t="s">
        <v>352</v>
      </c>
      <c r="I53" s="7"/>
      <c r="J53" s="7"/>
      <c r="K53" s="7" t="s">
        <v>353</v>
      </c>
      <c r="L53" s="7" t="s">
        <v>354</v>
      </c>
      <c r="M53" s="7" t="s">
        <v>355</v>
      </c>
      <c r="N53" s="7"/>
      <c r="O53" s="7"/>
      <c r="P53" s="7"/>
      <c r="Q53" s="7"/>
      <c r="R53" s="7">
        <v>1</v>
      </c>
      <c r="S53" s="7" t="s">
        <v>67</v>
      </c>
      <c r="T53" s="19" t="s">
        <v>869</v>
      </c>
      <c r="U53" s="7"/>
      <c r="V53" s="7"/>
      <c r="W53" s="7"/>
      <c r="X53" s="7"/>
      <c r="Y53" s="7"/>
      <c r="Z53" s="7"/>
      <c r="AA53" s="7"/>
      <c r="AB53" s="7" t="str">
        <f t="shared" si="2"/>
        <v/>
      </c>
      <c r="AC53" s="7" t="str">
        <f t="shared" si="3"/>
        <v>NO</v>
      </c>
      <c r="AD53" s="12"/>
    </row>
    <row r="54" spans="1:30" ht="45">
      <c r="A54" s="11" t="s">
        <v>356</v>
      </c>
      <c r="B54" s="7" t="s">
        <v>357</v>
      </c>
      <c r="C54" s="7" t="s">
        <v>288</v>
      </c>
      <c r="D54" s="7" t="s">
        <v>58</v>
      </c>
      <c r="E54" s="7" t="s">
        <v>59</v>
      </c>
      <c r="F54" s="7" t="s">
        <v>76</v>
      </c>
      <c r="G54" s="7" t="s">
        <v>61</v>
      </c>
      <c r="H54" s="7" t="s">
        <v>358</v>
      </c>
      <c r="I54" s="7"/>
      <c r="J54" s="7"/>
      <c r="K54" s="7" t="s">
        <v>359</v>
      </c>
      <c r="L54" s="7" t="s">
        <v>360</v>
      </c>
      <c r="M54" s="7" t="s">
        <v>361</v>
      </c>
      <c r="N54" s="7"/>
      <c r="O54" s="7"/>
      <c r="P54" s="7"/>
      <c r="Q54" s="7"/>
      <c r="R54" s="7">
        <v>3</v>
      </c>
      <c r="S54" s="7" t="s">
        <v>81</v>
      </c>
      <c r="T54" s="7"/>
      <c r="U54" s="7"/>
      <c r="V54" s="7" t="s">
        <v>897</v>
      </c>
      <c r="W54" s="7"/>
      <c r="X54" s="7"/>
      <c r="Y54" s="7"/>
      <c r="Z54" s="7"/>
      <c r="AA54" s="7"/>
      <c r="AB54" s="7" t="str">
        <f t="shared" si="2"/>
        <v>REVIEW</v>
      </c>
      <c r="AC54" s="7" t="str">
        <f t="shared" si="3"/>
        <v>NO</v>
      </c>
      <c r="AD54" s="12"/>
    </row>
    <row r="55" spans="1:30" ht="60">
      <c r="A55" s="11" t="s">
        <v>362</v>
      </c>
      <c r="B55" s="7" t="s">
        <v>363</v>
      </c>
      <c r="C55" s="7" t="s">
        <v>288</v>
      </c>
      <c r="D55" s="7" t="s">
        <v>58</v>
      </c>
      <c r="E55" s="7" t="s">
        <v>59</v>
      </c>
      <c r="F55" s="7" t="s">
        <v>76</v>
      </c>
      <c r="G55" s="7" t="s">
        <v>61</v>
      </c>
      <c r="H55" s="7" t="s">
        <v>364</v>
      </c>
      <c r="I55" s="7"/>
      <c r="J55" s="7"/>
      <c r="K55" s="7" t="s">
        <v>365</v>
      </c>
      <c r="L55" s="7" t="s">
        <v>366</v>
      </c>
      <c r="M55" s="7" t="s">
        <v>367</v>
      </c>
      <c r="N55" s="7"/>
      <c r="O55" s="7"/>
      <c r="P55" s="7"/>
      <c r="Q55" s="7"/>
      <c r="R55" s="7">
        <v>1</v>
      </c>
      <c r="S55" s="7" t="s">
        <v>91</v>
      </c>
      <c r="T55" s="7"/>
      <c r="U55" s="7"/>
      <c r="V55" s="7" t="s">
        <v>898</v>
      </c>
      <c r="W55" s="7"/>
      <c r="X55" s="7"/>
      <c r="Y55" s="7"/>
      <c r="Z55" s="7"/>
      <c r="AA55" s="7"/>
      <c r="AB55" s="7" t="str">
        <f t="shared" si="2"/>
        <v>REVIEW</v>
      </c>
      <c r="AC55" s="7" t="str">
        <f t="shared" si="3"/>
        <v>NO</v>
      </c>
      <c r="AD55" s="12"/>
    </row>
    <row r="56" spans="1:30" ht="60">
      <c r="A56" s="11" t="s">
        <v>368</v>
      </c>
      <c r="B56" s="7" t="s">
        <v>363</v>
      </c>
      <c r="C56" s="7" t="s">
        <v>288</v>
      </c>
      <c r="D56" s="7" t="s">
        <v>58</v>
      </c>
      <c r="E56" s="7" t="s">
        <v>59</v>
      </c>
      <c r="F56" s="7" t="s">
        <v>76</v>
      </c>
      <c r="G56" s="7" t="s">
        <v>61</v>
      </c>
      <c r="H56" s="7" t="s">
        <v>364</v>
      </c>
      <c r="I56" s="7"/>
      <c r="J56" s="7"/>
      <c r="K56" s="7" t="s">
        <v>365</v>
      </c>
      <c r="L56" s="7" t="s">
        <v>369</v>
      </c>
      <c r="M56" s="7" t="s">
        <v>367</v>
      </c>
      <c r="N56" s="7"/>
      <c r="O56" s="7"/>
      <c r="P56" s="7"/>
      <c r="Q56" s="7"/>
      <c r="R56" s="7">
        <v>1</v>
      </c>
      <c r="S56" s="7" t="s">
        <v>155</v>
      </c>
      <c r="T56" s="19" t="s">
        <v>869</v>
      </c>
      <c r="U56" s="7"/>
      <c r="V56" s="7"/>
      <c r="W56" s="7"/>
      <c r="X56" s="7"/>
      <c r="Y56" s="7"/>
      <c r="Z56" s="7"/>
      <c r="AA56" s="7"/>
      <c r="AB56" s="7" t="str">
        <f t="shared" si="2"/>
        <v/>
      </c>
      <c r="AC56" s="7" t="str">
        <f t="shared" si="3"/>
        <v>NO</v>
      </c>
      <c r="AD56" s="12"/>
    </row>
    <row r="57" spans="1:30" ht="60">
      <c r="A57" s="11" t="s">
        <v>370</v>
      </c>
      <c r="B57" s="7" t="s">
        <v>363</v>
      </c>
      <c r="C57" s="7" t="s">
        <v>288</v>
      </c>
      <c r="D57" s="7" t="s">
        <v>58</v>
      </c>
      <c r="E57" s="7" t="s">
        <v>59</v>
      </c>
      <c r="F57" s="7" t="s">
        <v>76</v>
      </c>
      <c r="G57" s="7" t="s">
        <v>61</v>
      </c>
      <c r="H57" s="7" t="s">
        <v>364</v>
      </c>
      <c r="I57" s="7"/>
      <c r="J57" s="7"/>
      <c r="K57" s="7" t="s">
        <v>365</v>
      </c>
      <c r="L57" s="7" t="s">
        <v>371</v>
      </c>
      <c r="M57" s="7" t="s">
        <v>367</v>
      </c>
      <c r="N57" s="7"/>
      <c r="O57" s="7"/>
      <c r="P57" s="7"/>
      <c r="Q57" s="7"/>
      <c r="R57" s="7">
        <v>1</v>
      </c>
      <c r="S57" s="7" t="s">
        <v>67</v>
      </c>
      <c r="T57" s="7"/>
      <c r="U57" s="7"/>
      <c r="V57" s="7" t="s">
        <v>898</v>
      </c>
      <c r="W57" s="7"/>
      <c r="X57" s="7"/>
      <c r="Y57" s="7"/>
      <c r="Z57" s="7"/>
      <c r="AA57" s="7"/>
      <c r="AB57" s="7" t="str">
        <f t="shared" si="2"/>
        <v>REVIEW</v>
      </c>
      <c r="AC57" s="7" t="str">
        <f t="shared" si="3"/>
        <v>NO</v>
      </c>
      <c r="AD57" s="12"/>
    </row>
    <row r="58" spans="1:30" ht="30">
      <c r="A58" s="11" t="s">
        <v>372</v>
      </c>
      <c r="B58" s="7" t="s">
        <v>373</v>
      </c>
      <c r="C58" s="7" t="s">
        <v>288</v>
      </c>
      <c r="D58" s="7" t="s">
        <v>58</v>
      </c>
      <c r="E58" s="7" t="s">
        <v>59</v>
      </c>
      <c r="F58" s="7" t="s">
        <v>94</v>
      </c>
      <c r="G58" s="7" t="s">
        <v>61</v>
      </c>
      <c r="H58" s="7" t="s">
        <v>374</v>
      </c>
      <c r="I58" s="7"/>
      <c r="J58" s="7"/>
      <c r="K58" s="7" t="s">
        <v>375</v>
      </c>
      <c r="L58" s="7" t="s">
        <v>376</v>
      </c>
      <c r="M58" s="7" t="s">
        <v>377</v>
      </c>
      <c r="N58" s="7"/>
      <c r="O58" s="7"/>
      <c r="P58" s="7"/>
      <c r="Q58" s="7"/>
      <c r="R58" s="7">
        <v>1</v>
      </c>
      <c r="S58" s="7" t="s">
        <v>67</v>
      </c>
      <c r="T58" s="19" t="s">
        <v>869</v>
      </c>
      <c r="U58" s="7"/>
      <c r="V58" s="7"/>
      <c r="W58" s="7"/>
      <c r="X58" s="7"/>
      <c r="Y58" s="7"/>
      <c r="Z58" s="7"/>
      <c r="AA58" s="7"/>
      <c r="AB58" s="7" t="str">
        <f t="shared" si="2"/>
        <v/>
      </c>
      <c r="AC58" s="7" t="str">
        <f t="shared" si="3"/>
        <v>NO</v>
      </c>
      <c r="AD58" s="12"/>
    </row>
    <row r="59" spans="1:30" ht="75">
      <c r="A59" s="11" t="s">
        <v>378</v>
      </c>
      <c r="B59" s="7" t="s">
        <v>379</v>
      </c>
      <c r="C59" s="7" t="s">
        <v>288</v>
      </c>
      <c r="D59" s="7" t="s">
        <v>58</v>
      </c>
      <c r="E59" s="7" t="s">
        <v>116</v>
      </c>
      <c r="F59" s="7" t="s">
        <v>76</v>
      </c>
      <c r="G59" s="7" t="s">
        <v>146</v>
      </c>
      <c r="H59" s="7" t="s">
        <v>380</v>
      </c>
      <c r="I59" s="7" t="s">
        <v>381</v>
      </c>
      <c r="J59" s="7" t="s">
        <v>382</v>
      </c>
      <c r="K59" s="7" t="s">
        <v>383</v>
      </c>
      <c r="L59" s="7" t="s">
        <v>384</v>
      </c>
      <c r="M59" s="7" t="s">
        <v>384</v>
      </c>
      <c r="N59" s="7"/>
      <c r="O59" s="7" t="s">
        <v>385</v>
      </c>
      <c r="P59" s="7" t="s">
        <v>386</v>
      </c>
      <c r="Q59" s="7" t="s">
        <v>154</v>
      </c>
      <c r="R59" s="7">
        <v>1</v>
      </c>
      <c r="S59" s="7" t="s">
        <v>67</v>
      </c>
      <c r="T59" s="19" t="s">
        <v>869</v>
      </c>
      <c r="U59" s="7"/>
      <c r="V59" s="7" t="s">
        <v>899</v>
      </c>
      <c r="W59" s="7"/>
      <c r="X59" s="7"/>
      <c r="Y59" s="7"/>
      <c r="Z59" s="7"/>
      <c r="AA59" s="7"/>
      <c r="AB59" s="7" t="str">
        <f t="shared" si="2"/>
        <v>REVIEW</v>
      </c>
      <c r="AC59" s="7" t="str">
        <f t="shared" si="3"/>
        <v>NO</v>
      </c>
      <c r="AD59" s="12"/>
    </row>
    <row r="60" spans="1:30" ht="105">
      <c r="A60" s="11" t="s">
        <v>387</v>
      </c>
      <c r="B60" s="7" t="s">
        <v>379</v>
      </c>
      <c r="C60" s="7" t="s">
        <v>288</v>
      </c>
      <c r="D60" s="7" t="s">
        <v>58</v>
      </c>
      <c r="E60" s="7" t="s">
        <v>116</v>
      </c>
      <c r="F60" s="7" t="s">
        <v>76</v>
      </c>
      <c r="G60" s="7" t="s">
        <v>61</v>
      </c>
      <c r="H60" s="7" t="s">
        <v>380</v>
      </c>
      <c r="I60" s="7" t="s">
        <v>381</v>
      </c>
      <c r="J60" s="7" t="s">
        <v>382</v>
      </c>
      <c r="K60" s="7" t="s">
        <v>383</v>
      </c>
      <c r="L60" s="7" t="s">
        <v>388</v>
      </c>
      <c r="M60" s="7" t="s">
        <v>384</v>
      </c>
      <c r="N60" s="7"/>
      <c r="O60" s="7" t="s">
        <v>389</v>
      </c>
      <c r="P60" s="7" t="s">
        <v>386</v>
      </c>
      <c r="Q60" s="7" t="s">
        <v>66</v>
      </c>
      <c r="R60" s="7">
        <v>1</v>
      </c>
      <c r="S60" s="7" t="s">
        <v>139</v>
      </c>
      <c r="T60" s="19" t="s">
        <v>869</v>
      </c>
      <c r="U60" s="7"/>
      <c r="V60" s="7" t="s">
        <v>900</v>
      </c>
      <c r="W60" s="7"/>
      <c r="X60" s="7"/>
      <c r="Y60" s="7"/>
      <c r="Z60" s="7"/>
      <c r="AA60" s="7"/>
      <c r="AB60" s="7" t="str">
        <f t="shared" si="2"/>
        <v>REVIEW</v>
      </c>
      <c r="AC60" s="7" t="str">
        <f t="shared" si="3"/>
        <v>NO</v>
      </c>
      <c r="AD60" s="12"/>
    </row>
    <row r="61" spans="1:30" ht="60">
      <c r="A61" s="11" t="s">
        <v>390</v>
      </c>
      <c r="B61" s="7" t="s">
        <v>379</v>
      </c>
      <c r="C61" s="7" t="s">
        <v>288</v>
      </c>
      <c r="D61" s="7" t="s">
        <v>58</v>
      </c>
      <c r="E61" s="7" t="s">
        <v>116</v>
      </c>
      <c r="F61" s="7" t="s">
        <v>76</v>
      </c>
      <c r="G61" s="7" t="s">
        <v>61</v>
      </c>
      <c r="H61" s="7" t="s">
        <v>380</v>
      </c>
      <c r="I61" s="7" t="s">
        <v>381</v>
      </c>
      <c r="J61" s="7" t="s">
        <v>382</v>
      </c>
      <c r="K61" s="7" t="s">
        <v>383</v>
      </c>
      <c r="L61" s="7" t="s">
        <v>391</v>
      </c>
      <c r="M61" s="7" t="s">
        <v>384</v>
      </c>
      <c r="N61" s="7"/>
      <c r="O61" s="7" t="s">
        <v>392</v>
      </c>
      <c r="P61" s="7" t="s">
        <v>386</v>
      </c>
      <c r="Q61" s="7" t="s">
        <v>66</v>
      </c>
      <c r="R61" s="7">
        <v>1</v>
      </c>
      <c r="S61" s="7" t="s">
        <v>155</v>
      </c>
      <c r="T61" s="19" t="s">
        <v>869</v>
      </c>
      <c r="U61" s="7"/>
      <c r="V61" s="7" t="s">
        <v>900</v>
      </c>
      <c r="W61" s="7"/>
      <c r="X61" s="7"/>
      <c r="Y61" s="7"/>
      <c r="Z61" s="7"/>
      <c r="AA61" s="7"/>
      <c r="AB61" s="7" t="str">
        <f t="shared" si="2"/>
        <v>REVIEW</v>
      </c>
      <c r="AC61" s="7" t="str">
        <f t="shared" si="3"/>
        <v>NO</v>
      </c>
      <c r="AD61" s="12"/>
    </row>
    <row r="62" spans="1:30" ht="60">
      <c r="A62" s="11" t="s">
        <v>393</v>
      </c>
      <c r="B62" s="7" t="s">
        <v>394</v>
      </c>
      <c r="C62" s="7" t="s">
        <v>395</v>
      </c>
      <c r="D62" s="7" t="s">
        <v>191</v>
      </c>
      <c r="E62" s="7" t="s">
        <v>116</v>
      </c>
      <c r="F62" s="7" t="s">
        <v>60</v>
      </c>
      <c r="G62" s="7" t="s">
        <v>146</v>
      </c>
      <c r="H62" s="7" t="s">
        <v>396</v>
      </c>
      <c r="I62" s="7" t="s">
        <v>397</v>
      </c>
      <c r="J62" s="7" t="s">
        <v>398</v>
      </c>
      <c r="K62" s="7" t="s">
        <v>399</v>
      </c>
      <c r="L62" s="7" t="s">
        <v>400</v>
      </c>
      <c r="M62" s="7" t="s">
        <v>400</v>
      </c>
      <c r="N62" s="7"/>
      <c r="O62" s="7" t="s">
        <v>401</v>
      </c>
      <c r="P62" s="7" t="s">
        <v>402</v>
      </c>
      <c r="Q62" s="7" t="s">
        <v>154</v>
      </c>
      <c r="R62" s="7">
        <v>1</v>
      </c>
      <c r="S62" s="7" t="s">
        <v>91</v>
      </c>
      <c r="T62" s="19" t="s">
        <v>869</v>
      </c>
      <c r="U62" s="7"/>
      <c r="V62" s="7" t="s">
        <v>899</v>
      </c>
      <c r="W62" s="7"/>
      <c r="X62" s="7"/>
      <c r="Y62" s="7"/>
      <c r="Z62" s="7"/>
      <c r="AA62" s="7"/>
      <c r="AB62" s="7" t="str">
        <f t="shared" si="2"/>
        <v>REVIEW</v>
      </c>
      <c r="AC62" s="7" t="str">
        <f t="shared" si="3"/>
        <v>NO</v>
      </c>
      <c r="AD62" s="12"/>
    </row>
    <row r="63" spans="1:30" ht="90">
      <c r="A63" s="11" t="s">
        <v>403</v>
      </c>
      <c r="B63" s="7" t="s">
        <v>394</v>
      </c>
      <c r="C63" s="7" t="s">
        <v>395</v>
      </c>
      <c r="D63" s="7" t="s">
        <v>191</v>
      </c>
      <c r="E63" s="7" t="s">
        <v>116</v>
      </c>
      <c r="F63" s="7" t="s">
        <v>60</v>
      </c>
      <c r="G63" s="7" t="s">
        <v>146</v>
      </c>
      <c r="H63" s="7" t="s">
        <v>396</v>
      </c>
      <c r="I63" s="7" t="s">
        <v>397</v>
      </c>
      <c r="J63" s="7" t="s">
        <v>398</v>
      </c>
      <c r="K63" s="7" t="s">
        <v>399</v>
      </c>
      <c r="L63" s="7" t="s">
        <v>400</v>
      </c>
      <c r="M63" s="7" t="s">
        <v>400</v>
      </c>
      <c r="N63" s="7"/>
      <c r="O63" s="7" t="s">
        <v>404</v>
      </c>
      <c r="P63" s="7" t="s">
        <v>402</v>
      </c>
      <c r="Q63" s="7" t="s">
        <v>154</v>
      </c>
      <c r="R63" s="7">
        <v>1</v>
      </c>
      <c r="S63" s="7" t="s">
        <v>139</v>
      </c>
      <c r="T63" s="19" t="s">
        <v>869</v>
      </c>
      <c r="U63" s="7"/>
      <c r="V63" s="7" t="s">
        <v>899</v>
      </c>
      <c r="W63" s="7"/>
      <c r="X63" s="7"/>
      <c r="Y63" s="7"/>
      <c r="Z63" s="7"/>
      <c r="AA63" s="7"/>
      <c r="AB63" s="7" t="str">
        <f t="shared" si="2"/>
        <v>REVIEW</v>
      </c>
      <c r="AC63" s="7" t="str">
        <f t="shared" si="3"/>
        <v>NO</v>
      </c>
      <c r="AD63" s="12"/>
    </row>
    <row r="64" spans="1:30" ht="75">
      <c r="A64" s="11" t="s">
        <v>405</v>
      </c>
      <c r="B64" s="7" t="s">
        <v>394</v>
      </c>
      <c r="C64" s="7" t="s">
        <v>395</v>
      </c>
      <c r="D64" s="7" t="s">
        <v>191</v>
      </c>
      <c r="E64" s="7" t="s">
        <v>116</v>
      </c>
      <c r="F64" s="7" t="s">
        <v>60</v>
      </c>
      <c r="G64" s="7" t="s">
        <v>61</v>
      </c>
      <c r="H64" s="7" t="s">
        <v>396</v>
      </c>
      <c r="I64" s="7" t="s">
        <v>397</v>
      </c>
      <c r="J64" s="7" t="s">
        <v>398</v>
      </c>
      <c r="K64" s="7" t="s">
        <v>399</v>
      </c>
      <c r="L64" s="7" t="s">
        <v>406</v>
      </c>
      <c r="M64" s="7" t="s">
        <v>400</v>
      </c>
      <c r="N64" s="7"/>
      <c r="O64" s="7" t="s">
        <v>407</v>
      </c>
      <c r="P64" s="7" t="s">
        <v>402</v>
      </c>
      <c r="Q64" s="7"/>
      <c r="R64" s="7">
        <v>1</v>
      </c>
      <c r="S64" s="7" t="s">
        <v>155</v>
      </c>
      <c r="T64" s="7"/>
      <c r="U64" s="7"/>
      <c r="V64" s="7" t="s">
        <v>901</v>
      </c>
      <c r="W64" s="7"/>
      <c r="X64" s="7"/>
      <c r="Y64" s="7"/>
      <c r="Z64" s="7"/>
      <c r="AA64" s="7"/>
      <c r="AB64" s="7" t="str">
        <f t="shared" si="2"/>
        <v>REVIEW</v>
      </c>
      <c r="AC64" s="7" t="str">
        <f t="shared" si="3"/>
        <v>NO</v>
      </c>
      <c r="AD64" s="12"/>
    </row>
    <row r="65" spans="1:30" ht="45">
      <c r="A65" s="11" t="s">
        <v>408</v>
      </c>
      <c r="B65" s="7" t="s">
        <v>409</v>
      </c>
      <c r="C65" s="7" t="s">
        <v>395</v>
      </c>
      <c r="D65" s="7" t="s">
        <v>191</v>
      </c>
      <c r="E65" s="7" t="s">
        <v>116</v>
      </c>
      <c r="F65" s="7" t="s">
        <v>410</v>
      </c>
      <c r="G65" s="7" t="s">
        <v>61</v>
      </c>
      <c r="H65" s="7" t="s">
        <v>411</v>
      </c>
      <c r="I65" s="7" t="s">
        <v>412</v>
      </c>
      <c r="J65" s="7" t="s">
        <v>413</v>
      </c>
      <c r="K65" s="7" t="s">
        <v>78</v>
      </c>
      <c r="L65" s="7" t="s">
        <v>414</v>
      </c>
      <c r="M65" s="7" t="s">
        <v>415</v>
      </c>
      <c r="N65" s="7"/>
      <c r="O65" s="7" t="s">
        <v>416</v>
      </c>
      <c r="P65" s="7" t="s">
        <v>417</v>
      </c>
      <c r="Q65" s="7"/>
      <c r="R65" s="7">
        <v>1</v>
      </c>
      <c r="S65" s="7" t="s">
        <v>139</v>
      </c>
      <c r="T65" s="19" t="s">
        <v>869</v>
      </c>
      <c r="U65" s="7"/>
      <c r="V65" s="7"/>
      <c r="W65" s="7"/>
      <c r="X65" s="7"/>
      <c r="Y65" s="7"/>
      <c r="Z65" s="7"/>
      <c r="AA65" s="7"/>
      <c r="AB65" s="7" t="str">
        <f t="shared" si="2"/>
        <v/>
      </c>
      <c r="AC65" s="7" t="str">
        <f t="shared" si="3"/>
        <v>NO</v>
      </c>
      <c r="AD65" s="12"/>
    </row>
    <row r="66" spans="1:30" ht="45">
      <c r="A66" s="11" t="s">
        <v>418</v>
      </c>
      <c r="B66" s="7" t="s">
        <v>409</v>
      </c>
      <c r="C66" s="7" t="s">
        <v>395</v>
      </c>
      <c r="D66" s="7" t="s">
        <v>191</v>
      </c>
      <c r="E66" s="7" t="s">
        <v>116</v>
      </c>
      <c r="F66" s="7" t="s">
        <v>410</v>
      </c>
      <c r="G66" s="7" t="s">
        <v>61</v>
      </c>
      <c r="H66" s="7" t="s">
        <v>411</v>
      </c>
      <c r="I66" s="7" t="s">
        <v>412</v>
      </c>
      <c r="J66" s="7" t="s">
        <v>413</v>
      </c>
      <c r="K66" s="7" t="s">
        <v>78</v>
      </c>
      <c r="L66" s="7" t="s">
        <v>419</v>
      </c>
      <c r="M66" s="7" t="s">
        <v>415</v>
      </c>
      <c r="N66" s="7"/>
      <c r="O66" s="7" t="s">
        <v>420</v>
      </c>
      <c r="P66" s="7" t="s">
        <v>417</v>
      </c>
      <c r="Q66" s="7"/>
      <c r="R66" s="7">
        <v>3</v>
      </c>
      <c r="S66" s="7" t="s">
        <v>81</v>
      </c>
      <c r="T66" s="7"/>
      <c r="U66" s="7"/>
      <c r="V66" s="7" t="s">
        <v>902</v>
      </c>
      <c r="W66" s="7"/>
      <c r="X66" s="7"/>
      <c r="Y66" s="7"/>
      <c r="Z66" s="7"/>
      <c r="AA66" s="7"/>
      <c r="AB66" s="7" t="str">
        <f t="shared" ref="AB66:AB97" si="4">IF(AND(S66&lt;&gt;"",V66&lt;&gt;"",S66&lt;&gt;V66),"REVIEW","")</f>
        <v>REVIEW</v>
      </c>
      <c r="AC66" s="7" t="str">
        <f t="shared" ref="AC66:AC97" si="5">IF(Y66&lt;&gt;"","YES","NO")</f>
        <v>NO</v>
      </c>
      <c r="AD66" s="12"/>
    </row>
    <row r="67" spans="1:30" ht="60">
      <c r="A67" s="11" t="s">
        <v>421</v>
      </c>
      <c r="B67" s="7" t="s">
        <v>422</v>
      </c>
      <c r="C67" s="7" t="s">
        <v>395</v>
      </c>
      <c r="D67" s="7" t="s">
        <v>58</v>
      </c>
      <c r="E67" s="7" t="s">
        <v>116</v>
      </c>
      <c r="F67" s="7" t="s">
        <v>76</v>
      </c>
      <c r="G67" s="7" t="s">
        <v>61</v>
      </c>
      <c r="H67" s="7" t="s">
        <v>423</v>
      </c>
      <c r="I67" s="7" t="s">
        <v>424</v>
      </c>
      <c r="J67" s="7" t="s">
        <v>425</v>
      </c>
      <c r="K67" s="7" t="s">
        <v>426</v>
      </c>
      <c r="L67" s="7" t="s">
        <v>427</v>
      </c>
      <c r="M67" s="7" t="s">
        <v>428</v>
      </c>
      <c r="N67" s="7"/>
      <c r="O67" s="7" t="s">
        <v>429</v>
      </c>
      <c r="P67" s="7" t="s">
        <v>430</v>
      </c>
      <c r="Q67" s="7" t="s">
        <v>279</v>
      </c>
      <c r="R67" s="7">
        <v>1</v>
      </c>
      <c r="S67" s="7" t="s">
        <v>139</v>
      </c>
      <c r="T67" s="19"/>
      <c r="U67" s="7"/>
      <c r="V67" s="7" t="s">
        <v>903</v>
      </c>
      <c r="W67" s="7"/>
      <c r="X67" s="7"/>
      <c r="Y67" s="7"/>
      <c r="Z67" s="7"/>
      <c r="AA67" s="7"/>
      <c r="AB67" s="7" t="str">
        <f t="shared" si="4"/>
        <v>REVIEW</v>
      </c>
      <c r="AC67" s="7" t="str">
        <f t="shared" si="5"/>
        <v>NO</v>
      </c>
      <c r="AD67" s="12"/>
    </row>
    <row r="68" spans="1:30" ht="60">
      <c r="A68" s="11" t="s">
        <v>431</v>
      </c>
      <c r="B68" s="7" t="s">
        <v>432</v>
      </c>
      <c r="C68" s="7" t="s">
        <v>395</v>
      </c>
      <c r="D68" s="7" t="s">
        <v>58</v>
      </c>
      <c r="E68" s="7" t="s">
        <v>116</v>
      </c>
      <c r="F68" s="7" t="s">
        <v>94</v>
      </c>
      <c r="G68" s="7" t="s">
        <v>61</v>
      </c>
      <c r="H68" s="7" t="s">
        <v>433</v>
      </c>
      <c r="I68" s="7" t="s">
        <v>434</v>
      </c>
      <c r="J68" s="7" t="s">
        <v>435</v>
      </c>
      <c r="K68" s="7" t="s">
        <v>436</v>
      </c>
      <c r="L68" s="7" t="s">
        <v>437</v>
      </c>
      <c r="M68" s="7" t="s">
        <v>438</v>
      </c>
      <c r="N68" s="7"/>
      <c r="O68" s="7" t="s">
        <v>439</v>
      </c>
      <c r="P68" s="7" t="s">
        <v>440</v>
      </c>
      <c r="Q68" s="7" t="s">
        <v>279</v>
      </c>
      <c r="R68" s="7">
        <v>1</v>
      </c>
      <c r="S68" s="7" t="s">
        <v>91</v>
      </c>
      <c r="T68" s="7"/>
      <c r="U68" s="7"/>
      <c r="V68" s="7" t="s">
        <v>904</v>
      </c>
      <c r="W68" s="7"/>
      <c r="X68" s="7"/>
      <c r="Y68" s="7"/>
      <c r="Z68" s="7"/>
      <c r="AA68" s="7"/>
      <c r="AB68" s="7" t="str">
        <f t="shared" si="4"/>
        <v>REVIEW</v>
      </c>
      <c r="AC68" s="7" t="str">
        <f t="shared" si="5"/>
        <v>NO</v>
      </c>
      <c r="AD68" s="12"/>
    </row>
    <row r="69" spans="1:30" ht="60">
      <c r="A69" s="11" t="s">
        <v>441</v>
      </c>
      <c r="B69" s="7" t="s">
        <v>442</v>
      </c>
      <c r="C69" s="7" t="s">
        <v>395</v>
      </c>
      <c r="D69" s="7" t="s">
        <v>58</v>
      </c>
      <c r="E69" s="7" t="s">
        <v>116</v>
      </c>
      <c r="F69" s="7" t="s">
        <v>76</v>
      </c>
      <c r="G69" s="7" t="s">
        <v>61</v>
      </c>
      <c r="H69" s="7" t="s">
        <v>443</v>
      </c>
      <c r="I69" s="7" t="s">
        <v>444</v>
      </c>
      <c r="J69" s="7" t="s">
        <v>445</v>
      </c>
      <c r="K69" s="7" t="s">
        <v>446</v>
      </c>
      <c r="L69" s="7" t="s">
        <v>447</v>
      </c>
      <c r="M69" s="7" t="s">
        <v>448</v>
      </c>
      <c r="N69" s="7"/>
      <c r="O69" s="7" t="s">
        <v>449</v>
      </c>
      <c r="P69" s="7" t="s">
        <v>450</v>
      </c>
      <c r="Q69" s="7"/>
      <c r="R69" s="7">
        <v>2</v>
      </c>
      <c r="S69" s="7" t="s">
        <v>451</v>
      </c>
      <c r="T69" s="19" t="s">
        <v>869</v>
      </c>
      <c r="U69" s="7"/>
      <c r="V69" s="7"/>
      <c r="W69" s="7"/>
      <c r="X69" s="7"/>
      <c r="Y69" s="7"/>
      <c r="Z69" s="7"/>
      <c r="AA69" s="7"/>
      <c r="AB69" s="7" t="str">
        <f t="shared" si="4"/>
        <v/>
      </c>
      <c r="AC69" s="7" t="str">
        <f t="shared" si="5"/>
        <v>NO</v>
      </c>
      <c r="AD69" s="12"/>
    </row>
    <row r="70" spans="1:30" ht="45">
      <c r="A70" s="11" t="s">
        <v>452</v>
      </c>
      <c r="B70" s="7" t="s">
        <v>453</v>
      </c>
      <c r="C70" s="7" t="s">
        <v>395</v>
      </c>
      <c r="D70" s="7" t="s">
        <v>58</v>
      </c>
      <c r="E70" s="7" t="s">
        <v>116</v>
      </c>
      <c r="F70" s="7" t="s">
        <v>76</v>
      </c>
      <c r="G70" s="7" t="s">
        <v>61</v>
      </c>
      <c r="H70" s="7" t="s">
        <v>454</v>
      </c>
      <c r="I70" s="7" t="s">
        <v>455</v>
      </c>
      <c r="J70" s="7" t="s">
        <v>456</v>
      </c>
      <c r="K70" s="7" t="s">
        <v>457</v>
      </c>
      <c r="L70" s="7" t="s">
        <v>458</v>
      </c>
      <c r="M70" s="7" t="s">
        <v>459</v>
      </c>
      <c r="N70" s="7"/>
      <c r="O70" s="7" t="s">
        <v>460</v>
      </c>
      <c r="P70" s="7" t="s">
        <v>461</v>
      </c>
      <c r="Q70" s="7"/>
      <c r="R70" s="7">
        <v>1</v>
      </c>
      <c r="S70" s="7" t="s">
        <v>91</v>
      </c>
      <c r="T70" s="7"/>
      <c r="U70" s="7"/>
      <c r="V70" s="7" t="s">
        <v>905</v>
      </c>
      <c r="W70" s="7"/>
      <c r="X70" s="7"/>
      <c r="Y70" s="7"/>
      <c r="Z70" s="7"/>
      <c r="AA70" s="7"/>
      <c r="AB70" s="7" t="str">
        <f t="shared" si="4"/>
        <v>REVIEW</v>
      </c>
      <c r="AC70" s="7" t="str">
        <f t="shared" si="5"/>
        <v>NO</v>
      </c>
      <c r="AD70" s="12"/>
    </row>
    <row r="71" spans="1:30" ht="45">
      <c r="A71" s="11" t="s">
        <v>462</v>
      </c>
      <c r="B71" s="7" t="s">
        <v>453</v>
      </c>
      <c r="C71" s="7" t="s">
        <v>395</v>
      </c>
      <c r="D71" s="7" t="s">
        <v>58</v>
      </c>
      <c r="E71" s="7" t="s">
        <v>116</v>
      </c>
      <c r="F71" s="7" t="s">
        <v>76</v>
      </c>
      <c r="G71" s="7" t="s">
        <v>61</v>
      </c>
      <c r="H71" s="7" t="s">
        <v>454</v>
      </c>
      <c r="I71" s="7" t="s">
        <v>455</v>
      </c>
      <c r="J71" s="7" t="s">
        <v>456</v>
      </c>
      <c r="K71" s="7" t="s">
        <v>457</v>
      </c>
      <c r="L71" s="7" t="s">
        <v>463</v>
      </c>
      <c r="M71" s="7" t="s">
        <v>459</v>
      </c>
      <c r="N71" s="7"/>
      <c r="O71" s="7" t="s">
        <v>464</v>
      </c>
      <c r="P71" s="7" t="s">
        <v>461</v>
      </c>
      <c r="Q71" s="7" t="s">
        <v>66</v>
      </c>
      <c r="R71" s="7">
        <v>2</v>
      </c>
      <c r="S71" s="7" t="s">
        <v>113</v>
      </c>
      <c r="T71" s="19" t="s">
        <v>869</v>
      </c>
      <c r="U71" s="7"/>
      <c r="V71" s="7"/>
      <c r="W71" s="7"/>
      <c r="X71" s="7"/>
      <c r="Y71" s="7"/>
      <c r="Z71" s="7"/>
      <c r="AA71" s="7"/>
      <c r="AB71" s="7" t="str">
        <f t="shared" si="4"/>
        <v/>
      </c>
      <c r="AC71" s="7" t="str">
        <f t="shared" si="5"/>
        <v>NO</v>
      </c>
      <c r="AD71" s="12"/>
    </row>
    <row r="72" spans="1:30" ht="75">
      <c r="A72" s="11" t="s">
        <v>465</v>
      </c>
      <c r="B72" s="7" t="s">
        <v>466</v>
      </c>
      <c r="C72" s="7" t="s">
        <v>395</v>
      </c>
      <c r="D72" s="7" t="s">
        <v>58</v>
      </c>
      <c r="E72" s="7" t="s">
        <v>116</v>
      </c>
      <c r="F72" s="7" t="s">
        <v>76</v>
      </c>
      <c r="G72" s="7" t="s">
        <v>61</v>
      </c>
      <c r="H72" s="7" t="s">
        <v>467</v>
      </c>
      <c r="I72" s="7" t="s">
        <v>468</v>
      </c>
      <c r="J72" s="7" t="s">
        <v>469</v>
      </c>
      <c r="K72" s="7" t="s">
        <v>470</v>
      </c>
      <c r="L72" s="7" t="s">
        <v>471</v>
      </c>
      <c r="M72" s="7" t="s">
        <v>472</v>
      </c>
      <c r="N72" s="7"/>
      <c r="O72" s="7" t="s">
        <v>473</v>
      </c>
      <c r="P72" s="7" t="s">
        <v>474</v>
      </c>
      <c r="Q72" s="7"/>
      <c r="R72" s="7">
        <v>1</v>
      </c>
      <c r="S72" s="7" t="s">
        <v>155</v>
      </c>
      <c r="T72" s="19" t="s">
        <v>869</v>
      </c>
      <c r="U72" s="7"/>
      <c r="V72" s="7"/>
      <c r="W72" s="7"/>
      <c r="X72" s="7"/>
      <c r="Y72" s="7"/>
      <c r="Z72" s="7"/>
      <c r="AA72" s="7"/>
      <c r="AB72" s="7" t="str">
        <f t="shared" si="4"/>
        <v/>
      </c>
      <c r="AC72" s="7" t="str">
        <f t="shared" si="5"/>
        <v>NO</v>
      </c>
      <c r="AD72" s="12"/>
    </row>
    <row r="73" spans="1:30" ht="60">
      <c r="A73" s="11" t="s">
        <v>475</v>
      </c>
      <c r="B73" s="7" t="s">
        <v>466</v>
      </c>
      <c r="C73" s="7" t="s">
        <v>395</v>
      </c>
      <c r="D73" s="7" t="s">
        <v>58</v>
      </c>
      <c r="E73" s="7" t="s">
        <v>116</v>
      </c>
      <c r="F73" s="7" t="s">
        <v>76</v>
      </c>
      <c r="G73" s="7" t="s">
        <v>61</v>
      </c>
      <c r="H73" s="7" t="s">
        <v>467</v>
      </c>
      <c r="I73" s="7" t="s">
        <v>468</v>
      </c>
      <c r="J73" s="7" t="s">
        <v>469</v>
      </c>
      <c r="K73" s="7" t="s">
        <v>470</v>
      </c>
      <c r="L73" s="7" t="s">
        <v>476</v>
      </c>
      <c r="M73" s="7" t="s">
        <v>472</v>
      </c>
      <c r="N73" s="7"/>
      <c r="O73" s="7" t="s">
        <v>477</v>
      </c>
      <c r="P73" s="7" t="s">
        <v>474</v>
      </c>
      <c r="Q73" s="7" t="s">
        <v>66</v>
      </c>
      <c r="R73" s="7">
        <v>1</v>
      </c>
      <c r="S73" s="7" t="s">
        <v>67</v>
      </c>
      <c r="T73" s="19" t="s">
        <v>869</v>
      </c>
      <c r="U73" s="7"/>
      <c r="V73" s="7"/>
      <c r="W73" s="7"/>
      <c r="X73" s="7"/>
      <c r="Y73" s="7"/>
      <c r="Z73" s="7"/>
      <c r="AA73" s="7"/>
      <c r="AB73" s="7" t="str">
        <f t="shared" si="4"/>
        <v/>
      </c>
      <c r="AC73" s="7" t="str">
        <f t="shared" si="5"/>
        <v>NO</v>
      </c>
      <c r="AD73" s="12"/>
    </row>
    <row r="74" spans="1:30" ht="60">
      <c r="A74" s="11" t="s">
        <v>478</v>
      </c>
      <c r="B74" s="7" t="s">
        <v>466</v>
      </c>
      <c r="C74" s="7" t="s">
        <v>395</v>
      </c>
      <c r="D74" s="7" t="s">
        <v>58</v>
      </c>
      <c r="E74" s="7" t="s">
        <v>116</v>
      </c>
      <c r="F74" s="7" t="s">
        <v>76</v>
      </c>
      <c r="G74" s="7" t="s">
        <v>61</v>
      </c>
      <c r="H74" s="7" t="s">
        <v>467</v>
      </c>
      <c r="I74" s="7" t="s">
        <v>468</v>
      </c>
      <c r="J74" s="7" t="s">
        <v>469</v>
      </c>
      <c r="K74" s="7" t="s">
        <v>470</v>
      </c>
      <c r="L74" s="7" t="s">
        <v>479</v>
      </c>
      <c r="M74" s="7" t="s">
        <v>472</v>
      </c>
      <c r="N74" s="7"/>
      <c r="O74" s="7" t="s">
        <v>480</v>
      </c>
      <c r="P74" s="7" t="s">
        <v>474</v>
      </c>
      <c r="Q74" s="7"/>
      <c r="R74" s="7">
        <v>1</v>
      </c>
      <c r="S74" s="7" t="s">
        <v>139</v>
      </c>
      <c r="T74" s="19" t="s">
        <v>869</v>
      </c>
      <c r="U74" s="7"/>
      <c r="V74" s="7"/>
      <c r="W74" s="7"/>
      <c r="X74" s="7"/>
      <c r="Y74" s="7"/>
      <c r="Z74" s="7"/>
      <c r="AA74" s="7"/>
      <c r="AB74" s="7" t="str">
        <f t="shared" si="4"/>
        <v/>
      </c>
      <c r="AC74" s="7" t="str">
        <f t="shared" si="5"/>
        <v>NO</v>
      </c>
      <c r="AD74" s="12"/>
    </row>
    <row r="75" spans="1:30" ht="30">
      <c r="A75" s="11" t="s">
        <v>481</v>
      </c>
      <c r="B75" s="7" t="s">
        <v>482</v>
      </c>
      <c r="C75" s="7" t="s">
        <v>395</v>
      </c>
      <c r="D75" s="7" t="s">
        <v>58</v>
      </c>
      <c r="E75" s="7" t="s">
        <v>116</v>
      </c>
      <c r="F75" s="7" t="s">
        <v>76</v>
      </c>
      <c r="G75" s="7" t="s">
        <v>61</v>
      </c>
      <c r="H75" s="7" t="s">
        <v>483</v>
      </c>
      <c r="I75" s="7" t="s">
        <v>484</v>
      </c>
      <c r="J75" s="7" t="s">
        <v>485</v>
      </c>
      <c r="K75" s="7" t="s">
        <v>486</v>
      </c>
      <c r="L75" s="7" t="s">
        <v>487</v>
      </c>
      <c r="M75" s="7" t="s">
        <v>488</v>
      </c>
      <c r="N75" s="7"/>
      <c r="O75" s="7" t="s">
        <v>489</v>
      </c>
      <c r="P75" s="7" t="s">
        <v>490</v>
      </c>
      <c r="Q75" s="7"/>
      <c r="R75" s="7">
        <v>1</v>
      </c>
      <c r="S75" s="7" t="s">
        <v>155</v>
      </c>
      <c r="T75" s="19" t="s">
        <v>869</v>
      </c>
      <c r="U75" s="7"/>
      <c r="V75" s="7"/>
      <c r="W75" s="7"/>
      <c r="X75" s="7"/>
      <c r="Y75" s="7"/>
      <c r="Z75" s="7"/>
      <c r="AA75" s="7"/>
      <c r="AB75" s="7" t="str">
        <f t="shared" si="4"/>
        <v/>
      </c>
      <c r="AC75" s="7" t="str">
        <f t="shared" si="5"/>
        <v>NO</v>
      </c>
      <c r="AD75" s="12"/>
    </row>
    <row r="76" spans="1:30" ht="60">
      <c r="A76" s="11" t="s">
        <v>491</v>
      </c>
      <c r="B76" s="7" t="s">
        <v>492</v>
      </c>
      <c r="C76" s="7" t="s">
        <v>395</v>
      </c>
      <c r="D76" s="7" t="s">
        <v>58</v>
      </c>
      <c r="E76" s="7" t="s">
        <v>116</v>
      </c>
      <c r="F76" s="7" t="s">
        <v>94</v>
      </c>
      <c r="G76" s="7" t="s">
        <v>61</v>
      </c>
      <c r="H76" s="7" t="s">
        <v>493</v>
      </c>
      <c r="I76" s="7" t="s">
        <v>494</v>
      </c>
      <c r="J76" s="7" t="s">
        <v>495</v>
      </c>
      <c r="K76" s="7" t="s">
        <v>496</v>
      </c>
      <c r="L76" s="7" t="s">
        <v>497</v>
      </c>
      <c r="M76" s="7" t="s">
        <v>498</v>
      </c>
      <c r="N76" s="7"/>
      <c r="O76" s="7" t="s">
        <v>499</v>
      </c>
      <c r="P76" s="7" t="s">
        <v>500</v>
      </c>
      <c r="Q76" s="7"/>
      <c r="R76" s="7">
        <v>1</v>
      </c>
      <c r="S76" s="7" t="s">
        <v>139</v>
      </c>
      <c r="T76" s="19" t="s">
        <v>869</v>
      </c>
      <c r="U76" s="7"/>
      <c r="V76" s="7"/>
      <c r="W76" s="7"/>
      <c r="X76" s="7"/>
      <c r="Y76" s="7"/>
      <c r="Z76" s="7"/>
      <c r="AA76" s="7"/>
      <c r="AB76" s="7" t="str">
        <f t="shared" si="4"/>
        <v/>
      </c>
      <c r="AC76" s="7" t="str">
        <f t="shared" si="5"/>
        <v>NO</v>
      </c>
      <c r="AD76" s="12"/>
    </row>
    <row r="77" spans="1:30" ht="60">
      <c r="A77" s="11" t="s">
        <v>501</v>
      </c>
      <c r="B77" s="7" t="s">
        <v>502</v>
      </c>
      <c r="C77" s="7" t="s">
        <v>395</v>
      </c>
      <c r="D77" s="7" t="s">
        <v>58</v>
      </c>
      <c r="E77" s="7" t="s">
        <v>116</v>
      </c>
      <c r="F77" s="7" t="s">
        <v>76</v>
      </c>
      <c r="G77" s="7" t="s">
        <v>146</v>
      </c>
      <c r="H77" s="7" t="s">
        <v>503</v>
      </c>
      <c r="I77" s="7" t="s">
        <v>504</v>
      </c>
      <c r="J77" s="7" t="s">
        <v>505</v>
      </c>
      <c r="K77" s="7" t="s">
        <v>506</v>
      </c>
      <c r="L77" s="7" t="s">
        <v>507</v>
      </c>
      <c r="M77" s="7" t="s">
        <v>508</v>
      </c>
      <c r="N77" s="7"/>
      <c r="O77" s="7" t="s">
        <v>509</v>
      </c>
      <c r="P77" s="7" t="s">
        <v>510</v>
      </c>
      <c r="Q77" s="7" t="s">
        <v>154</v>
      </c>
      <c r="R77" s="7">
        <v>1</v>
      </c>
      <c r="S77" s="7" t="s">
        <v>139</v>
      </c>
      <c r="T77" s="7"/>
      <c r="U77" s="7"/>
      <c r="V77" s="7" t="s">
        <v>881</v>
      </c>
      <c r="W77" s="7"/>
      <c r="X77" s="7"/>
      <c r="Y77" s="7"/>
      <c r="Z77" s="7"/>
      <c r="AA77" s="7"/>
      <c r="AB77" s="7" t="str">
        <f t="shared" si="4"/>
        <v>REVIEW</v>
      </c>
      <c r="AC77" s="7" t="str">
        <f t="shared" si="5"/>
        <v>NO</v>
      </c>
      <c r="AD77" s="12"/>
    </row>
    <row r="78" spans="1:30" ht="75">
      <c r="A78" s="11" t="s">
        <v>511</v>
      </c>
      <c r="B78" s="7" t="s">
        <v>512</v>
      </c>
      <c r="C78" s="7" t="s">
        <v>395</v>
      </c>
      <c r="D78" s="7" t="s">
        <v>58</v>
      </c>
      <c r="E78" s="7" t="s">
        <v>116</v>
      </c>
      <c r="F78" s="7" t="s">
        <v>76</v>
      </c>
      <c r="G78" s="7" t="s">
        <v>61</v>
      </c>
      <c r="H78" s="7" t="s">
        <v>513</v>
      </c>
      <c r="I78" s="7" t="s">
        <v>514</v>
      </c>
      <c r="J78" s="7" t="s">
        <v>515</v>
      </c>
      <c r="K78" s="7" t="s">
        <v>516</v>
      </c>
      <c r="L78" s="7" t="s">
        <v>517</v>
      </c>
      <c r="M78" s="7" t="s">
        <v>518</v>
      </c>
      <c r="N78" s="7"/>
      <c r="O78" s="7" t="s">
        <v>519</v>
      </c>
      <c r="P78" s="7" t="s">
        <v>520</v>
      </c>
      <c r="Q78" s="7"/>
      <c r="R78" s="7">
        <v>1</v>
      </c>
      <c r="S78" s="7" t="s">
        <v>139</v>
      </c>
      <c r="T78" s="7" t="s">
        <v>880</v>
      </c>
      <c r="U78" s="7"/>
      <c r="V78" s="7"/>
      <c r="W78" s="7"/>
      <c r="X78" s="7"/>
      <c r="Y78" s="7"/>
      <c r="Z78" s="7"/>
      <c r="AA78" s="7"/>
      <c r="AB78" s="7" t="str">
        <f t="shared" si="4"/>
        <v/>
      </c>
      <c r="AC78" s="7" t="str">
        <f t="shared" si="5"/>
        <v>NO</v>
      </c>
      <c r="AD78" s="12"/>
    </row>
    <row r="79" spans="1:30" ht="45">
      <c r="A79" s="11" t="s">
        <v>521</v>
      </c>
      <c r="B79" s="7" t="s">
        <v>522</v>
      </c>
      <c r="C79" s="7" t="s">
        <v>395</v>
      </c>
      <c r="D79" s="7" t="s">
        <v>58</v>
      </c>
      <c r="E79" s="7" t="s">
        <v>116</v>
      </c>
      <c r="F79" s="7" t="s">
        <v>76</v>
      </c>
      <c r="G79" s="7" t="s">
        <v>146</v>
      </c>
      <c r="H79" s="7" t="s">
        <v>523</v>
      </c>
      <c r="I79" s="7" t="s">
        <v>524</v>
      </c>
      <c r="J79" s="7" t="s">
        <v>525</v>
      </c>
      <c r="K79" s="7" t="s">
        <v>526</v>
      </c>
      <c r="L79" s="7" t="s">
        <v>527</v>
      </c>
      <c r="M79" s="7" t="s">
        <v>527</v>
      </c>
      <c r="N79" s="7"/>
      <c r="O79" s="7" t="s">
        <v>528</v>
      </c>
      <c r="P79" s="7" t="s">
        <v>529</v>
      </c>
      <c r="Q79" s="7" t="s">
        <v>154</v>
      </c>
      <c r="R79" s="7">
        <v>1</v>
      </c>
      <c r="S79" s="7" t="s">
        <v>139</v>
      </c>
      <c r="T79" s="7"/>
      <c r="U79" s="7"/>
      <c r="V79" s="7" t="s">
        <v>879</v>
      </c>
      <c r="W79" s="7"/>
      <c r="X79" s="7"/>
      <c r="Y79" s="7"/>
      <c r="Z79" s="7"/>
      <c r="AA79" s="7"/>
      <c r="AB79" s="7" t="str">
        <f t="shared" si="4"/>
        <v>REVIEW</v>
      </c>
      <c r="AC79" s="7" t="str">
        <f t="shared" si="5"/>
        <v>NO</v>
      </c>
      <c r="AD79" s="12"/>
    </row>
    <row r="80" spans="1:30" ht="60">
      <c r="A80" s="11" t="s">
        <v>530</v>
      </c>
      <c r="B80" s="7" t="s">
        <v>531</v>
      </c>
      <c r="C80" s="7" t="s">
        <v>395</v>
      </c>
      <c r="D80" s="7" t="s">
        <v>58</v>
      </c>
      <c r="E80" s="7" t="s">
        <v>116</v>
      </c>
      <c r="F80" s="7" t="s">
        <v>94</v>
      </c>
      <c r="G80" s="7" t="s">
        <v>61</v>
      </c>
      <c r="H80" s="7" t="s">
        <v>532</v>
      </c>
      <c r="I80" s="7" t="s">
        <v>533</v>
      </c>
      <c r="J80" s="7" t="s">
        <v>534</v>
      </c>
      <c r="K80" s="7" t="s">
        <v>535</v>
      </c>
      <c r="L80" s="7" t="s">
        <v>536</v>
      </c>
      <c r="M80" s="7" t="s">
        <v>537</v>
      </c>
      <c r="N80" s="7"/>
      <c r="O80" s="7" t="s">
        <v>538</v>
      </c>
      <c r="P80" s="7" t="s">
        <v>539</v>
      </c>
      <c r="Q80" s="7"/>
      <c r="R80" s="7">
        <v>2</v>
      </c>
      <c r="S80" s="7" t="s">
        <v>113</v>
      </c>
      <c r="T80" s="7" t="s">
        <v>869</v>
      </c>
      <c r="U80" s="7"/>
      <c r="V80" s="7"/>
      <c r="W80" s="7"/>
      <c r="X80" s="7"/>
      <c r="Y80" s="7"/>
      <c r="Z80" s="7"/>
      <c r="AA80" s="7"/>
      <c r="AB80" s="7" t="str">
        <f t="shared" si="4"/>
        <v/>
      </c>
      <c r="AC80" s="7" t="str">
        <f t="shared" si="5"/>
        <v>NO</v>
      </c>
      <c r="AD80" s="12"/>
    </row>
    <row r="81" spans="1:30" ht="60">
      <c r="A81" s="11" t="s">
        <v>540</v>
      </c>
      <c r="B81" s="7" t="s">
        <v>531</v>
      </c>
      <c r="C81" s="7" t="s">
        <v>395</v>
      </c>
      <c r="D81" s="7" t="s">
        <v>58</v>
      </c>
      <c r="E81" s="7" t="s">
        <v>116</v>
      </c>
      <c r="F81" s="7" t="s">
        <v>94</v>
      </c>
      <c r="G81" s="7" t="s">
        <v>61</v>
      </c>
      <c r="H81" s="7" t="s">
        <v>532</v>
      </c>
      <c r="I81" s="7" t="s">
        <v>533</v>
      </c>
      <c r="J81" s="7" t="s">
        <v>534</v>
      </c>
      <c r="K81" s="7" t="s">
        <v>535</v>
      </c>
      <c r="L81" s="7" t="s">
        <v>541</v>
      </c>
      <c r="M81" s="7" t="s">
        <v>537</v>
      </c>
      <c r="N81" s="7"/>
      <c r="O81" s="7" t="s">
        <v>542</v>
      </c>
      <c r="P81" s="7" t="s">
        <v>539</v>
      </c>
      <c r="Q81" s="7"/>
      <c r="R81" s="7">
        <v>2</v>
      </c>
      <c r="S81" s="7" t="s">
        <v>543</v>
      </c>
      <c r="T81" s="7"/>
      <c r="U81" s="7"/>
      <c r="V81" s="7" t="s">
        <v>878</v>
      </c>
      <c r="W81" s="7"/>
      <c r="X81" s="7"/>
      <c r="Y81" s="7"/>
      <c r="Z81" s="7"/>
      <c r="AA81" s="7"/>
      <c r="AB81" s="7" t="str">
        <f t="shared" si="4"/>
        <v>REVIEW</v>
      </c>
      <c r="AC81" s="7" t="str">
        <f t="shared" si="5"/>
        <v>NO</v>
      </c>
      <c r="AD81" s="12"/>
    </row>
    <row r="82" spans="1:30" ht="60">
      <c r="A82" s="11" t="s">
        <v>544</v>
      </c>
      <c r="B82" s="7" t="s">
        <v>545</v>
      </c>
      <c r="C82" s="7" t="s">
        <v>546</v>
      </c>
      <c r="D82" s="7" t="s">
        <v>547</v>
      </c>
      <c r="E82" s="7" t="s">
        <v>59</v>
      </c>
      <c r="F82" s="7" t="s">
        <v>60</v>
      </c>
      <c r="G82" s="7" t="s">
        <v>61</v>
      </c>
      <c r="H82" s="7" t="s">
        <v>548</v>
      </c>
      <c r="I82" s="7"/>
      <c r="J82" s="7"/>
      <c r="K82" s="7" t="s">
        <v>549</v>
      </c>
      <c r="L82" s="7" t="s">
        <v>550</v>
      </c>
      <c r="M82" s="7" t="s">
        <v>551</v>
      </c>
      <c r="N82" s="7"/>
      <c r="O82" s="7"/>
      <c r="P82" s="7"/>
      <c r="Q82" s="7" t="s">
        <v>552</v>
      </c>
      <c r="R82" s="7">
        <v>4</v>
      </c>
      <c r="S82" s="7" t="s">
        <v>553</v>
      </c>
      <c r="T82" s="7" t="s">
        <v>870</v>
      </c>
      <c r="U82" s="7"/>
      <c r="V82" s="7"/>
      <c r="W82" s="7"/>
      <c r="X82" s="7"/>
      <c r="Y82" s="7"/>
      <c r="Z82" s="7"/>
      <c r="AA82" s="7"/>
      <c r="AB82" s="7" t="str">
        <f t="shared" si="4"/>
        <v/>
      </c>
      <c r="AC82" s="7" t="str">
        <f t="shared" si="5"/>
        <v>NO</v>
      </c>
      <c r="AD82" s="12"/>
    </row>
    <row r="83" spans="1:30" ht="90">
      <c r="A83" s="11" t="s">
        <v>554</v>
      </c>
      <c r="B83" s="7" t="s">
        <v>555</v>
      </c>
      <c r="C83" s="7" t="s">
        <v>546</v>
      </c>
      <c r="D83" s="7" t="s">
        <v>547</v>
      </c>
      <c r="E83" s="7" t="s">
        <v>59</v>
      </c>
      <c r="F83" s="7" t="s">
        <v>76</v>
      </c>
      <c r="G83" s="7" t="s">
        <v>61</v>
      </c>
      <c r="H83" s="7" t="s">
        <v>556</v>
      </c>
      <c r="I83" s="7"/>
      <c r="J83" s="7"/>
      <c r="K83" s="7" t="s">
        <v>557</v>
      </c>
      <c r="L83" s="7" t="s">
        <v>558</v>
      </c>
      <c r="M83" s="7" t="s">
        <v>559</v>
      </c>
      <c r="N83" s="7"/>
      <c r="O83" s="7"/>
      <c r="P83" s="7"/>
      <c r="Q83" s="7" t="s">
        <v>560</v>
      </c>
      <c r="R83" s="7">
        <v>1</v>
      </c>
      <c r="S83" s="7" t="s">
        <v>139</v>
      </c>
      <c r="T83" s="7"/>
      <c r="U83" s="7"/>
      <c r="V83" s="7" t="s">
        <v>877</v>
      </c>
      <c r="W83" s="7"/>
      <c r="X83" s="7"/>
      <c r="Y83" s="7"/>
      <c r="Z83" s="7"/>
      <c r="AA83" s="7"/>
      <c r="AB83" s="7" t="str">
        <f t="shared" si="4"/>
        <v>REVIEW</v>
      </c>
      <c r="AC83" s="7" t="str">
        <f t="shared" si="5"/>
        <v>NO</v>
      </c>
      <c r="AD83" s="12"/>
    </row>
    <row r="84" spans="1:30" ht="90">
      <c r="A84" s="11" t="s">
        <v>561</v>
      </c>
      <c r="B84" s="7" t="s">
        <v>555</v>
      </c>
      <c r="C84" s="7" t="s">
        <v>546</v>
      </c>
      <c r="D84" s="7" t="s">
        <v>547</v>
      </c>
      <c r="E84" s="7" t="s">
        <v>59</v>
      </c>
      <c r="F84" s="7" t="s">
        <v>76</v>
      </c>
      <c r="G84" s="7" t="s">
        <v>61</v>
      </c>
      <c r="H84" s="7" t="s">
        <v>556</v>
      </c>
      <c r="I84" s="7"/>
      <c r="J84" s="7"/>
      <c r="K84" s="7" t="s">
        <v>557</v>
      </c>
      <c r="L84" s="7" t="s">
        <v>562</v>
      </c>
      <c r="M84" s="7" t="s">
        <v>559</v>
      </c>
      <c r="N84" s="7"/>
      <c r="O84" s="7"/>
      <c r="P84" s="7"/>
      <c r="Q84" s="7" t="s">
        <v>560</v>
      </c>
      <c r="R84" s="7">
        <v>1</v>
      </c>
      <c r="S84" s="7" t="s">
        <v>67</v>
      </c>
      <c r="T84" s="7"/>
      <c r="U84" s="7"/>
      <c r="V84" s="7" t="s">
        <v>876</v>
      </c>
      <c r="W84" s="7"/>
      <c r="X84" s="7"/>
      <c r="Y84" s="7"/>
      <c r="Z84" s="7"/>
      <c r="AA84" s="7"/>
      <c r="AB84" s="7" t="str">
        <f t="shared" si="4"/>
        <v>REVIEW</v>
      </c>
      <c r="AC84" s="7" t="str">
        <f t="shared" si="5"/>
        <v>NO</v>
      </c>
      <c r="AD84" s="12"/>
    </row>
    <row r="85" spans="1:30" ht="60">
      <c r="A85" s="11" t="s">
        <v>563</v>
      </c>
      <c r="B85" s="7" t="s">
        <v>564</v>
      </c>
      <c r="C85" s="7" t="s">
        <v>546</v>
      </c>
      <c r="D85" s="7" t="s">
        <v>547</v>
      </c>
      <c r="E85" s="7" t="s">
        <v>59</v>
      </c>
      <c r="F85" s="7" t="s">
        <v>94</v>
      </c>
      <c r="G85" s="7" t="s">
        <v>61</v>
      </c>
      <c r="H85" s="7" t="s">
        <v>565</v>
      </c>
      <c r="I85" s="7"/>
      <c r="J85" s="7"/>
      <c r="K85" s="7" t="s">
        <v>566</v>
      </c>
      <c r="L85" s="7" t="s">
        <v>567</v>
      </c>
      <c r="M85" s="7" t="s">
        <v>568</v>
      </c>
      <c r="N85" s="7"/>
      <c r="O85" s="7"/>
      <c r="P85" s="7"/>
      <c r="Q85" s="7" t="s">
        <v>552</v>
      </c>
      <c r="R85" s="7">
        <v>2</v>
      </c>
      <c r="S85" s="7" t="s">
        <v>113</v>
      </c>
      <c r="T85" s="7" t="s">
        <v>870</v>
      </c>
      <c r="U85" s="7"/>
      <c r="V85" s="7"/>
      <c r="W85" s="7"/>
      <c r="X85" s="7"/>
      <c r="Y85" s="7"/>
      <c r="Z85" s="7"/>
      <c r="AA85" s="7"/>
      <c r="AB85" s="7" t="str">
        <f t="shared" si="4"/>
        <v/>
      </c>
      <c r="AC85" s="7" t="str">
        <f t="shared" si="5"/>
        <v>NO</v>
      </c>
      <c r="AD85" s="12"/>
    </row>
    <row r="86" spans="1:30" ht="60">
      <c r="A86" s="11" t="s">
        <v>569</v>
      </c>
      <c r="B86" s="7" t="s">
        <v>570</v>
      </c>
      <c r="C86" s="7" t="s">
        <v>546</v>
      </c>
      <c r="D86" s="7" t="s">
        <v>547</v>
      </c>
      <c r="E86" s="7" t="s">
        <v>59</v>
      </c>
      <c r="F86" s="7" t="s">
        <v>60</v>
      </c>
      <c r="G86" s="7" t="s">
        <v>61</v>
      </c>
      <c r="H86" s="7" t="s">
        <v>571</v>
      </c>
      <c r="I86" s="7"/>
      <c r="J86" s="7"/>
      <c r="K86" s="7" t="s">
        <v>572</v>
      </c>
      <c r="L86" s="7" t="s">
        <v>573</v>
      </c>
      <c r="M86" s="7" t="s">
        <v>574</v>
      </c>
      <c r="N86" s="7"/>
      <c r="O86" s="7"/>
      <c r="P86" s="7"/>
      <c r="Q86" s="7" t="s">
        <v>552</v>
      </c>
      <c r="R86" s="7">
        <v>4</v>
      </c>
      <c r="S86" s="7" t="s">
        <v>553</v>
      </c>
      <c r="T86" s="7" t="s">
        <v>870</v>
      </c>
      <c r="U86" s="7"/>
      <c r="V86" s="7"/>
      <c r="W86" s="7"/>
      <c r="X86" s="7"/>
      <c r="Y86" s="7"/>
      <c r="Z86" s="7"/>
      <c r="AA86" s="7"/>
      <c r="AB86" s="7" t="str">
        <f t="shared" si="4"/>
        <v/>
      </c>
      <c r="AC86" s="7" t="str">
        <f t="shared" si="5"/>
        <v>NO</v>
      </c>
      <c r="AD86" s="12"/>
    </row>
    <row r="87" spans="1:30" ht="75">
      <c r="A87" s="11" t="s">
        <v>575</v>
      </c>
      <c r="B87" s="7" t="s">
        <v>576</v>
      </c>
      <c r="C87" s="7" t="s">
        <v>546</v>
      </c>
      <c r="D87" s="7" t="s">
        <v>547</v>
      </c>
      <c r="E87" s="7" t="s">
        <v>59</v>
      </c>
      <c r="F87" s="7" t="s">
        <v>76</v>
      </c>
      <c r="G87" s="7" t="s">
        <v>61</v>
      </c>
      <c r="H87" s="7" t="s">
        <v>577</v>
      </c>
      <c r="I87" s="7"/>
      <c r="J87" s="7"/>
      <c r="K87" s="7" t="s">
        <v>578</v>
      </c>
      <c r="L87" s="7" t="s">
        <v>579</v>
      </c>
      <c r="M87" s="7" t="s">
        <v>580</v>
      </c>
      <c r="N87" s="7"/>
      <c r="O87" s="7"/>
      <c r="P87" s="7"/>
      <c r="Q87" s="7"/>
      <c r="R87" s="7">
        <v>1</v>
      </c>
      <c r="S87" s="7" t="s">
        <v>155</v>
      </c>
      <c r="T87" s="7" t="s">
        <v>869</v>
      </c>
      <c r="U87" s="7"/>
      <c r="V87" s="7"/>
      <c r="W87" s="7"/>
      <c r="X87" s="7"/>
      <c r="Y87" s="7"/>
      <c r="Z87" s="7"/>
      <c r="AA87" s="7"/>
      <c r="AB87" s="7" t="str">
        <f t="shared" si="4"/>
        <v/>
      </c>
      <c r="AC87" s="7" t="str">
        <f t="shared" si="5"/>
        <v>NO</v>
      </c>
      <c r="AD87" s="12"/>
    </row>
    <row r="88" spans="1:30" ht="75">
      <c r="A88" s="11" t="s">
        <v>581</v>
      </c>
      <c r="B88" s="7" t="s">
        <v>576</v>
      </c>
      <c r="C88" s="7" t="s">
        <v>546</v>
      </c>
      <c r="D88" s="7" t="s">
        <v>547</v>
      </c>
      <c r="E88" s="7" t="s">
        <v>59</v>
      </c>
      <c r="F88" s="7" t="s">
        <v>76</v>
      </c>
      <c r="G88" s="7" t="s">
        <v>61</v>
      </c>
      <c r="H88" s="7" t="s">
        <v>577</v>
      </c>
      <c r="I88" s="7"/>
      <c r="J88" s="7"/>
      <c r="K88" s="7" t="s">
        <v>578</v>
      </c>
      <c r="L88" s="7" t="s">
        <v>582</v>
      </c>
      <c r="M88" s="7" t="s">
        <v>580</v>
      </c>
      <c r="N88" s="7"/>
      <c r="O88" s="7"/>
      <c r="P88" s="7"/>
      <c r="Q88" s="7"/>
      <c r="R88" s="7">
        <v>1</v>
      </c>
      <c r="S88" s="7" t="s">
        <v>67</v>
      </c>
      <c r="T88" s="7"/>
      <c r="U88" s="7"/>
      <c r="V88" s="7" t="s">
        <v>875</v>
      </c>
      <c r="W88" s="7"/>
      <c r="X88" s="7"/>
      <c r="Y88" s="7"/>
      <c r="Z88" s="7"/>
      <c r="AA88" s="7"/>
      <c r="AB88" s="7" t="str">
        <f t="shared" si="4"/>
        <v>REVIEW</v>
      </c>
      <c r="AC88" s="7" t="str">
        <f t="shared" si="5"/>
        <v>NO</v>
      </c>
      <c r="AD88" s="12"/>
    </row>
    <row r="89" spans="1:30" ht="60">
      <c r="A89" s="11" t="s">
        <v>583</v>
      </c>
      <c r="B89" s="7" t="s">
        <v>584</v>
      </c>
      <c r="C89" s="7" t="s">
        <v>546</v>
      </c>
      <c r="D89" s="7" t="s">
        <v>547</v>
      </c>
      <c r="E89" s="7" t="s">
        <v>59</v>
      </c>
      <c r="F89" s="7" t="s">
        <v>60</v>
      </c>
      <c r="G89" s="7" t="s">
        <v>61</v>
      </c>
      <c r="H89" s="7" t="s">
        <v>585</v>
      </c>
      <c r="I89" s="7"/>
      <c r="J89" s="7"/>
      <c r="K89" s="7" t="s">
        <v>586</v>
      </c>
      <c r="L89" s="7" t="s">
        <v>587</v>
      </c>
      <c r="M89" s="7" t="s">
        <v>588</v>
      </c>
      <c r="N89" s="7"/>
      <c r="O89" s="7"/>
      <c r="P89" s="7"/>
      <c r="Q89" s="7"/>
      <c r="R89" s="7">
        <v>4</v>
      </c>
      <c r="S89" s="7" t="s">
        <v>553</v>
      </c>
      <c r="T89" s="7" t="s">
        <v>869</v>
      </c>
      <c r="U89" s="7"/>
      <c r="V89" s="7"/>
      <c r="W89" s="7"/>
      <c r="X89" s="7"/>
      <c r="Y89" s="7"/>
      <c r="Z89" s="7"/>
      <c r="AA89" s="7"/>
      <c r="AB89" s="7" t="str">
        <f t="shared" si="4"/>
        <v/>
      </c>
      <c r="AC89" s="7" t="str">
        <f t="shared" si="5"/>
        <v>NO</v>
      </c>
      <c r="AD89" s="12"/>
    </row>
    <row r="90" spans="1:30" ht="45">
      <c r="A90" s="11" t="s">
        <v>589</v>
      </c>
      <c r="B90" s="7" t="s">
        <v>590</v>
      </c>
      <c r="C90" s="7" t="s">
        <v>546</v>
      </c>
      <c r="D90" s="7" t="s">
        <v>547</v>
      </c>
      <c r="E90" s="7" t="s">
        <v>59</v>
      </c>
      <c r="F90" s="7" t="s">
        <v>76</v>
      </c>
      <c r="G90" s="7" t="s">
        <v>61</v>
      </c>
      <c r="H90" s="7" t="s">
        <v>591</v>
      </c>
      <c r="I90" s="7"/>
      <c r="J90" s="7"/>
      <c r="K90" s="7" t="s">
        <v>592</v>
      </c>
      <c r="L90" s="7" t="s">
        <v>593</v>
      </c>
      <c r="M90" s="7" t="s">
        <v>594</v>
      </c>
      <c r="N90" s="7"/>
      <c r="O90" s="7"/>
      <c r="P90" s="7"/>
      <c r="Q90" s="7"/>
      <c r="R90" s="7">
        <v>1</v>
      </c>
      <c r="S90" s="7" t="s">
        <v>67</v>
      </c>
      <c r="T90" s="7"/>
      <c r="U90" s="7"/>
      <c r="V90" s="7" t="s">
        <v>874</v>
      </c>
      <c r="W90" s="7"/>
      <c r="X90" s="7"/>
      <c r="Y90" s="7"/>
      <c r="Z90" s="7"/>
      <c r="AA90" s="7"/>
      <c r="AB90" s="7" t="str">
        <f t="shared" si="4"/>
        <v>REVIEW</v>
      </c>
      <c r="AC90" s="7" t="str">
        <f t="shared" si="5"/>
        <v>NO</v>
      </c>
      <c r="AD90" s="12"/>
    </row>
    <row r="91" spans="1:30" ht="60">
      <c r="A91" s="11" t="s">
        <v>595</v>
      </c>
      <c r="B91" s="7" t="s">
        <v>596</v>
      </c>
      <c r="C91" s="7" t="s">
        <v>546</v>
      </c>
      <c r="D91" s="7" t="s">
        <v>547</v>
      </c>
      <c r="E91" s="7" t="s">
        <v>59</v>
      </c>
      <c r="F91" s="7" t="s">
        <v>94</v>
      </c>
      <c r="G91" s="7" t="s">
        <v>61</v>
      </c>
      <c r="H91" s="7" t="s">
        <v>597</v>
      </c>
      <c r="I91" s="7"/>
      <c r="J91" s="7"/>
      <c r="K91" s="7" t="s">
        <v>598</v>
      </c>
      <c r="L91" s="7" t="s">
        <v>599</v>
      </c>
      <c r="M91" s="7" t="s">
        <v>600</v>
      </c>
      <c r="N91" s="7"/>
      <c r="O91" s="7"/>
      <c r="P91" s="7"/>
      <c r="Q91" s="7"/>
      <c r="R91" s="7">
        <v>1</v>
      </c>
      <c r="S91" s="7" t="s">
        <v>67</v>
      </c>
      <c r="T91" s="7"/>
      <c r="U91" s="7"/>
      <c r="V91" s="7" t="s">
        <v>873</v>
      </c>
      <c r="W91" s="7"/>
      <c r="X91" s="7"/>
      <c r="Y91" s="7"/>
      <c r="Z91" s="7"/>
      <c r="AA91" s="7"/>
      <c r="AB91" s="7" t="str">
        <f t="shared" si="4"/>
        <v>REVIEW</v>
      </c>
      <c r="AC91" s="7" t="str">
        <f t="shared" si="5"/>
        <v>NO</v>
      </c>
      <c r="AD91" s="12"/>
    </row>
    <row r="92" spans="1:30" ht="45">
      <c r="A92" s="11" t="s">
        <v>601</v>
      </c>
      <c r="B92" s="7" t="s">
        <v>602</v>
      </c>
      <c r="C92" s="7" t="s">
        <v>546</v>
      </c>
      <c r="D92" s="7" t="s">
        <v>547</v>
      </c>
      <c r="E92" s="7" t="s">
        <v>59</v>
      </c>
      <c r="F92" s="7" t="s">
        <v>76</v>
      </c>
      <c r="G92" s="7" t="s">
        <v>61</v>
      </c>
      <c r="H92" s="7" t="s">
        <v>603</v>
      </c>
      <c r="I92" s="7"/>
      <c r="J92" s="7"/>
      <c r="K92" s="7" t="s">
        <v>604</v>
      </c>
      <c r="L92" s="7" t="s">
        <v>605</v>
      </c>
      <c r="M92" s="7" t="s">
        <v>606</v>
      </c>
      <c r="N92" s="7"/>
      <c r="O92" s="7"/>
      <c r="P92" s="7"/>
      <c r="Q92" s="7" t="s">
        <v>66</v>
      </c>
      <c r="R92" s="7">
        <v>1</v>
      </c>
      <c r="S92" s="7" t="s">
        <v>155</v>
      </c>
      <c r="T92" s="7" t="s">
        <v>869</v>
      </c>
      <c r="U92" s="7"/>
      <c r="V92" s="7"/>
      <c r="W92" s="7"/>
      <c r="X92" s="7"/>
      <c r="Y92" s="7"/>
      <c r="Z92" s="7"/>
      <c r="AA92" s="7"/>
      <c r="AB92" s="7" t="str">
        <f t="shared" si="4"/>
        <v/>
      </c>
      <c r="AC92" s="7" t="str">
        <f t="shared" si="5"/>
        <v>NO</v>
      </c>
      <c r="AD92" s="12"/>
    </row>
    <row r="93" spans="1:30" ht="30">
      <c r="A93" s="11" t="s">
        <v>607</v>
      </c>
      <c r="B93" s="7" t="s">
        <v>602</v>
      </c>
      <c r="C93" s="7" t="s">
        <v>546</v>
      </c>
      <c r="D93" s="7" t="s">
        <v>547</v>
      </c>
      <c r="E93" s="7" t="s">
        <v>59</v>
      </c>
      <c r="F93" s="7" t="s">
        <v>76</v>
      </c>
      <c r="G93" s="7" t="s">
        <v>61</v>
      </c>
      <c r="H93" s="7" t="s">
        <v>603</v>
      </c>
      <c r="I93" s="7"/>
      <c r="J93" s="7"/>
      <c r="K93" s="7" t="s">
        <v>604</v>
      </c>
      <c r="L93" s="7" t="s">
        <v>608</v>
      </c>
      <c r="M93" s="7" t="s">
        <v>606</v>
      </c>
      <c r="N93" s="7"/>
      <c r="O93" s="7"/>
      <c r="P93" s="7"/>
      <c r="Q93" s="7"/>
      <c r="R93" s="7">
        <v>2</v>
      </c>
      <c r="S93" s="7" t="s">
        <v>216</v>
      </c>
      <c r="T93" s="7" t="s">
        <v>869</v>
      </c>
      <c r="U93" s="7"/>
      <c r="V93" s="7"/>
      <c r="W93" s="7"/>
      <c r="X93" s="7"/>
      <c r="Y93" s="7"/>
      <c r="Z93" s="7"/>
      <c r="AA93" s="7"/>
      <c r="AB93" s="7" t="str">
        <f t="shared" si="4"/>
        <v/>
      </c>
      <c r="AC93" s="7" t="str">
        <f t="shared" si="5"/>
        <v>NO</v>
      </c>
      <c r="AD93" s="12"/>
    </row>
    <row r="94" spans="1:30" ht="30">
      <c r="A94" s="11" t="s">
        <v>609</v>
      </c>
      <c r="B94" s="7" t="s">
        <v>610</v>
      </c>
      <c r="C94" s="7" t="s">
        <v>546</v>
      </c>
      <c r="D94" s="7" t="s">
        <v>547</v>
      </c>
      <c r="E94" s="7" t="s">
        <v>59</v>
      </c>
      <c r="F94" s="7" t="s">
        <v>60</v>
      </c>
      <c r="G94" s="7" t="s">
        <v>61</v>
      </c>
      <c r="H94" s="7" t="s">
        <v>611</v>
      </c>
      <c r="I94" s="7"/>
      <c r="J94" s="7"/>
      <c r="K94" s="7" t="s">
        <v>612</v>
      </c>
      <c r="L94" s="7" t="s">
        <v>613</v>
      </c>
      <c r="M94" s="7" t="s">
        <v>614</v>
      </c>
      <c r="N94" s="7"/>
      <c r="O94" s="7"/>
      <c r="P94" s="7"/>
      <c r="Q94" s="7"/>
      <c r="R94" s="7">
        <v>1</v>
      </c>
      <c r="S94" s="7" t="s">
        <v>67</v>
      </c>
      <c r="T94" s="7" t="s">
        <v>869</v>
      </c>
      <c r="U94" s="7"/>
      <c r="V94" s="7"/>
      <c r="W94" s="7"/>
      <c r="X94" s="7"/>
      <c r="Y94" s="7"/>
      <c r="Z94" s="7"/>
      <c r="AA94" s="7"/>
      <c r="AB94" s="7" t="str">
        <f t="shared" si="4"/>
        <v/>
      </c>
      <c r="AC94" s="7" t="str">
        <f t="shared" si="5"/>
        <v>NO</v>
      </c>
      <c r="AD94" s="12"/>
    </row>
    <row r="95" spans="1:30" ht="45">
      <c r="A95" s="11" t="s">
        <v>615</v>
      </c>
      <c r="B95" s="7" t="s">
        <v>610</v>
      </c>
      <c r="C95" s="7" t="s">
        <v>546</v>
      </c>
      <c r="D95" s="7" t="s">
        <v>547</v>
      </c>
      <c r="E95" s="7" t="s">
        <v>59</v>
      </c>
      <c r="F95" s="7" t="s">
        <v>60</v>
      </c>
      <c r="G95" s="7" t="s">
        <v>61</v>
      </c>
      <c r="H95" s="7" t="s">
        <v>611</v>
      </c>
      <c r="I95" s="7"/>
      <c r="J95" s="7"/>
      <c r="K95" s="7" t="s">
        <v>612</v>
      </c>
      <c r="L95" s="7" t="s">
        <v>616</v>
      </c>
      <c r="M95" s="7" t="s">
        <v>614</v>
      </c>
      <c r="N95" s="7"/>
      <c r="O95" s="7"/>
      <c r="P95" s="7"/>
      <c r="Q95" s="7" t="s">
        <v>66</v>
      </c>
      <c r="R95" s="7">
        <v>2</v>
      </c>
      <c r="S95" s="7" t="s">
        <v>543</v>
      </c>
      <c r="T95" s="7" t="s">
        <v>869</v>
      </c>
      <c r="U95" s="7"/>
      <c r="V95" s="7"/>
      <c r="W95" s="7"/>
      <c r="X95" s="7"/>
      <c r="Y95" s="7"/>
      <c r="Z95" s="7"/>
      <c r="AA95" s="7"/>
      <c r="AB95" s="7" t="str">
        <f t="shared" si="4"/>
        <v/>
      </c>
      <c r="AC95" s="7" t="str">
        <f t="shared" si="5"/>
        <v>NO</v>
      </c>
      <c r="AD95" s="12"/>
    </row>
    <row r="96" spans="1:30" ht="30">
      <c r="A96" s="11" t="s">
        <v>617</v>
      </c>
      <c r="B96" s="7" t="s">
        <v>610</v>
      </c>
      <c r="C96" s="7" t="s">
        <v>546</v>
      </c>
      <c r="D96" s="7" t="s">
        <v>547</v>
      </c>
      <c r="E96" s="7" t="s">
        <v>59</v>
      </c>
      <c r="F96" s="7" t="s">
        <v>60</v>
      </c>
      <c r="G96" s="7" t="s">
        <v>61</v>
      </c>
      <c r="H96" s="7" t="s">
        <v>611</v>
      </c>
      <c r="I96" s="7"/>
      <c r="J96" s="7"/>
      <c r="K96" s="7" t="s">
        <v>612</v>
      </c>
      <c r="L96" s="7" t="s">
        <v>618</v>
      </c>
      <c r="M96" s="7" t="s">
        <v>614</v>
      </c>
      <c r="N96" s="7"/>
      <c r="O96" s="7"/>
      <c r="P96" s="7"/>
      <c r="Q96" s="7"/>
      <c r="R96" s="7">
        <v>1</v>
      </c>
      <c r="S96" s="7" t="s">
        <v>155</v>
      </c>
      <c r="T96" s="7" t="s">
        <v>869</v>
      </c>
      <c r="U96" s="7"/>
      <c r="V96" s="7"/>
      <c r="W96" s="7"/>
      <c r="X96" s="7"/>
      <c r="Y96" s="7"/>
      <c r="Z96" s="7"/>
      <c r="AA96" s="7"/>
      <c r="AB96" s="7" t="str">
        <f t="shared" si="4"/>
        <v/>
      </c>
      <c r="AC96" s="7" t="str">
        <f t="shared" si="5"/>
        <v>NO</v>
      </c>
      <c r="AD96" s="12"/>
    </row>
    <row r="97" spans="1:30" ht="45">
      <c r="A97" s="11" t="s">
        <v>619</v>
      </c>
      <c r="B97" s="7" t="s">
        <v>620</v>
      </c>
      <c r="C97" s="7" t="s">
        <v>546</v>
      </c>
      <c r="D97" s="7" t="s">
        <v>547</v>
      </c>
      <c r="E97" s="7" t="s">
        <v>59</v>
      </c>
      <c r="F97" s="7" t="s">
        <v>60</v>
      </c>
      <c r="G97" s="7" t="s">
        <v>61</v>
      </c>
      <c r="H97" s="7" t="s">
        <v>621</v>
      </c>
      <c r="I97" s="7"/>
      <c r="J97" s="7"/>
      <c r="K97" s="7" t="s">
        <v>622</v>
      </c>
      <c r="L97" s="7" t="s">
        <v>623</v>
      </c>
      <c r="M97" s="7" t="s">
        <v>624</v>
      </c>
      <c r="N97" s="7"/>
      <c r="O97" s="7"/>
      <c r="P97" s="7"/>
      <c r="Q97" s="7" t="s">
        <v>66</v>
      </c>
      <c r="R97" s="7">
        <v>1</v>
      </c>
      <c r="S97" s="7" t="s">
        <v>139</v>
      </c>
      <c r="T97" s="7" t="s">
        <v>869</v>
      </c>
      <c r="U97" s="7"/>
      <c r="V97" s="7"/>
      <c r="W97" s="7"/>
      <c r="X97" s="7"/>
      <c r="Y97" s="7"/>
      <c r="Z97" s="7"/>
      <c r="AA97" s="7"/>
      <c r="AB97" s="7" t="str">
        <f t="shared" si="4"/>
        <v/>
      </c>
      <c r="AC97" s="7" t="str">
        <f t="shared" si="5"/>
        <v>NO</v>
      </c>
      <c r="AD97" s="12"/>
    </row>
    <row r="98" spans="1:30" ht="30">
      <c r="A98" s="11" t="s">
        <v>625</v>
      </c>
      <c r="B98" s="7" t="s">
        <v>620</v>
      </c>
      <c r="C98" s="7" t="s">
        <v>546</v>
      </c>
      <c r="D98" s="7" t="s">
        <v>547</v>
      </c>
      <c r="E98" s="7" t="s">
        <v>59</v>
      </c>
      <c r="F98" s="7" t="s">
        <v>60</v>
      </c>
      <c r="G98" s="7" t="s">
        <v>61</v>
      </c>
      <c r="H98" s="7" t="s">
        <v>621</v>
      </c>
      <c r="I98" s="7"/>
      <c r="J98" s="7"/>
      <c r="K98" s="7" t="s">
        <v>622</v>
      </c>
      <c r="L98" s="7" t="s">
        <v>626</v>
      </c>
      <c r="M98" s="7" t="s">
        <v>624</v>
      </c>
      <c r="N98" s="7"/>
      <c r="O98" s="7"/>
      <c r="P98" s="7"/>
      <c r="Q98" s="7"/>
      <c r="R98" s="7">
        <v>1</v>
      </c>
      <c r="S98" s="7" t="s">
        <v>67</v>
      </c>
      <c r="T98" s="7" t="s">
        <v>869</v>
      </c>
      <c r="U98" s="7"/>
      <c r="V98" s="7"/>
      <c r="W98" s="7"/>
      <c r="X98" s="7"/>
      <c r="Y98" s="7"/>
      <c r="Z98" s="7"/>
      <c r="AA98" s="7"/>
      <c r="AB98" s="7" t="str">
        <f t="shared" ref="AB98:AB111" si="6">IF(AND(S98&lt;&gt;"",V98&lt;&gt;"",S98&lt;&gt;V98),"REVIEW","")</f>
        <v/>
      </c>
      <c r="AC98" s="7" t="str">
        <f t="shared" ref="AC98:AC111" si="7">IF(Y98&lt;&gt;"","YES","NO")</f>
        <v>NO</v>
      </c>
      <c r="AD98" s="12"/>
    </row>
    <row r="99" spans="1:30" ht="30">
      <c r="A99" s="11" t="s">
        <v>627</v>
      </c>
      <c r="B99" s="7" t="s">
        <v>620</v>
      </c>
      <c r="C99" s="7" t="s">
        <v>546</v>
      </c>
      <c r="D99" s="7" t="s">
        <v>547</v>
      </c>
      <c r="E99" s="7" t="s">
        <v>59</v>
      </c>
      <c r="F99" s="7" t="s">
        <v>60</v>
      </c>
      <c r="G99" s="7" t="s">
        <v>61</v>
      </c>
      <c r="H99" s="7" t="s">
        <v>621</v>
      </c>
      <c r="I99" s="7"/>
      <c r="J99" s="7"/>
      <c r="K99" s="7" t="s">
        <v>622</v>
      </c>
      <c r="L99" s="7" t="s">
        <v>628</v>
      </c>
      <c r="M99" s="7" t="s">
        <v>624</v>
      </c>
      <c r="N99" s="7"/>
      <c r="O99" s="7"/>
      <c r="P99" s="7"/>
      <c r="Q99" s="7"/>
      <c r="R99" s="7">
        <v>1</v>
      </c>
      <c r="S99" s="7" t="s">
        <v>155</v>
      </c>
      <c r="T99" s="7" t="s">
        <v>869</v>
      </c>
      <c r="U99" s="7"/>
      <c r="V99" s="7"/>
      <c r="W99" s="7"/>
      <c r="X99" s="7"/>
      <c r="Y99" s="7"/>
      <c r="Z99" s="7"/>
      <c r="AA99" s="7"/>
      <c r="AB99" s="7" t="str">
        <f t="shared" si="6"/>
        <v/>
      </c>
      <c r="AC99" s="7" t="str">
        <f t="shared" si="7"/>
        <v>NO</v>
      </c>
      <c r="AD99" s="12"/>
    </row>
    <row r="100" spans="1:30" ht="45">
      <c r="A100" s="11" t="s">
        <v>629</v>
      </c>
      <c r="B100" s="7" t="s">
        <v>620</v>
      </c>
      <c r="C100" s="7" t="s">
        <v>546</v>
      </c>
      <c r="D100" s="7" t="s">
        <v>547</v>
      </c>
      <c r="E100" s="7" t="s">
        <v>59</v>
      </c>
      <c r="F100" s="7" t="s">
        <v>60</v>
      </c>
      <c r="G100" s="7" t="s">
        <v>61</v>
      </c>
      <c r="H100" s="7" t="s">
        <v>621</v>
      </c>
      <c r="I100" s="7"/>
      <c r="J100" s="7"/>
      <c r="K100" s="7" t="s">
        <v>622</v>
      </c>
      <c r="L100" s="7" t="s">
        <v>630</v>
      </c>
      <c r="M100" s="7" t="s">
        <v>624</v>
      </c>
      <c r="N100" s="7"/>
      <c r="O100" s="7"/>
      <c r="P100" s="7"/>
      <c r="Q100" s="7" t="s">
        <v>66</v>
      </c>
      <c r="R100" s="7">
        <v>1</v>
      </c>
      <c r="S100" s="7" t="s">
        <v>91</v>
      </c>
      <c r="T100" s="7" t="s">
        <v>869</v>
      </c>
      <c r="U100" s="7"/>
      <c r="V100" s="7"/>
      <c r="W100" s="7"/>
      <c r="X100" s="7"/>
      <c r="Y100" s="7"/>
      <c r="Z100" s="7"/>
      <c r="AA100" s="7"/>
      <c r="AB100" s="7" t="str">
        <f t="shared" si="6"/>
        <v/>
      </c>
      <c r="AC100" s="7" t="str">
        <f t="shared" si="7"/>
        <v>NO</v>
      </c>
      <c r="AD100" s="12"/>
    </row>
    <row r="101" spans="1:30" ht="30">
      <c r="A101" s="11" t="s">
        <v>631</v>
      </c>
      <c r="B101" s="7" t="s">
        <v>632</v>
      </c>
      <c r="C101" s="7" t="s">
        <v>546</v>
      </c>
      <c r="D101" s="7" t="s">
        <v>547</v>
      </c>
      <c r="E101" s="7" t="s">
        <v>59</v>
      </c>
      <c r="F101" s="7" t="s">
        <v>76</v>
      </c>
      <c r="G101" s="7" t="s">
        <v>61</v>
      </c>
      <c r="H101" s="7" t="s">
        <v>633</v>
      </c>
      <c r="I101" s="7"/>
      <c r="J101" s="7"/>
      <c r="K101" s="7" t="s">
        <v>634</v>
      </c>
      <c r="L101" s="7" t="s">
        <v>635</v>
      </c>
      <c r="M101" s="7" t="s">
        <v>636</v>
      </c>
      <c r="N101" s="7"/>
      <c r="O101" s="7"/>
      <c r="P101" s="7"/>
      <c r="Q101" s="7"/>
      <c r="R101" s="7">
        <v>1</v>
      </c>
      <c r="S101" s="7" t="s">
        <v>91</v>
      </c>
      <c r="T101" s="7" t="s">
        <v>870</v>
      </c>
      <c r="U101" s="7"/>
      <c r="V101" s="7"/>
      <c r="W101" s="7"/>
      <c r="X101" s="7"/>
      <c r="Y101" s="7"/>
      <c r="Z101" s="7"/>
      <c r="AA101" s="7"/>
      <c r="AB101" s="7" t="str">
        <f t="shared" si="6"/>
        <v/>
      </c>
      <c r="AC101" s="7" t="str">
        <f t="shared" si="7"/>
        <v>NO</v>
      </c>
      <c r="AD101" s="12"/>
    </row>
    <row r="102" spans="1:30" ht="60">
      <c r="A102" s="11" t="s">
        <v>637</v>
      </c>
      <c r="B102" s="7" t="s">
        <v>638</v>
      </c>
      <c r="C102" s="7" t="s">
        <v>546</v>
      </c>
      <c r="D102" s="7" t="s">
        <v>547</v>
      </c>
      <c r="E102" s="7" t="s">
        <v>59</v>
      </c>
      <c r="F102" s="7" t="s">
        <v>94</v>
      </c>
      <c r="G102" s="7" t="s">
        <v>61</v>
      </c>
      <c r="H102" s="7" t="s">
        <v>639</v>
      </c>
      <c r="I102" s="7"/>
      <c r="J102" s="7"/>
      <c r="K102" s="7" t="s">
        <v>640</v>
      </c>
      <c r="L102" s="7" t="s">
        <v>641</v>
      </c>
      <c r="M102" s="7" t="s">
        <v>642</v>
      </c>
      <c r="N102" s="7"/>
      <c r="O102" s="7"/>
      <c r="P102" s="7"/>
      <c r="Q102" s="7"/>
      <c r="R102" s="7">
        <v>1</v>
      </c>
      <c r="S102" s="7" t="s">
        <v>91</v>
      </c>
      <c r="T102" s="7"/>
      <c r="U102" s="7"/>
      <c r="V102" s="7" t="s">
        <v>872</v>
      </c>
      <c r="W102" s="7"/>
      <c r="X102" s="7"/>
      <c r="Y102" s="7"/>
      <c r="Z102" s="7"/>
      <c r="AA102" s="7"/>
      <c r="AB102" s="7" t="str">
        <f t="shared" si="6"/>
        <v>REVIEW</v>
      </c>
      <c r="AC102" s="7" t="str">
        <f t="shared" si="7"/>
        <v>NO</v>
      </c>
      <c r="AD102" s="12"/>
    </row>
    <row r="103" spans="1:30" ht="45">
      <c r="A103" s="11" t="s">
        <v>643</v>
      </c>
      <c r="B103" s="7" t="s">
        <v>644</v>
      </c>
      <c r="C103" s="7" t="s">
        <v>546</v>
      </c>
      <c r="D103" s="7" t="s">
        <v>547</v>
      </c>
      <c r="E103" s="7" t="s">
        <v>59</v>
      </c>
      <c r="F103" s="7" t="s">
        <v>76</v>
      </c>
      <c r="G103" s="7" t="s">
        <v>61</v>
      </c>
      <c r="H103" s="7" t="s">
        <v>645</v>
      </c>
      <c r="I103" s="7"/>
      <c r="J103" s="7"/>
      <c r="K103" s="7" t="s">
        <v>646</v>
      </c>
      <c r="L103" s="7" t="s">
        <v>647</v>
      </c>
      <c r="M103" s="7" t="s">
        <v>648</v>
      </c>
      <c r="N103" s="7"/>
      <c r="O103" s="7"/>
      <c r="P103" s="7"/>
      <c r="Q103" s="7" t="s">
        <v>66</v>
      </c>
      <c r="R103" s="7">
        <v>2</v>
      </c>
      <c r="S103" s="7" t="s">
        <v>113</v>
      </c>
      <c r="T103" s="7" t="s">
        <v>869</v>
      </c>
      <c r="U103" s="7"/>
      <c r="V103" s="7"/>
      <c r="W103" s="7"/>
      <c r="X103" s="7"/>
      <c r="Y103" s="7"/>
      <c r="Z103" s="7"/>
      <c r="AA103" s="7"/>
      <c r="AB103" s="7" t="str">
        <f t="shared" si="6"/>
        <v/>
      </c>
      <c r="AC103" s="7" t="str">
        <f t="shared" si="7"/>
        <v>NO</v>
      </c>
      <c r="AD103" s="12"/>
    </row>
    <row r="104" spans="1:30" ht="30">
      <c r="A104" s="11" t="s">
        <v>649</v>
      </c>
      <c r="B104" s="7" t="s">
        <v>650</v>
      </c>
      <c r="C104" s="7" t="s">
        <v>546</v>
      </c>
      <c r="D104" s="7" t="s">
        <v>547</v>
      </c>
      <c r="E104" s="7" t="s">
        <v>59</v>
      </c>
      <c r="F104" s="7" t="s">
        <v>76</v>
      </c>
      <c r="G104" s="7" t="s">
        <v>61</v>
      </c>
      <c r="H104" s="7" t="s">
        <v>651</v>
      </c>
      <c r="I104" s="7"/>
      <c r="J104" s="7"/>
      <c r="K104" s="7" t="s">
        <v>652</v>
      </c>
      <c r="L104" s="7" t="s">
        <v>653</v>
      </c>
      <c r="M104" s="7" t="s">
        <v>654</v>
      </c>
      <c r="N104" s="7"/>
      <c r="O104" s="7"/>
      <c r="P104" s="7"/>
      <c r="Q104" s="7"/>
      <c r="R104" s="7">
        <v>1</v>
      </c>
      <c r="S104" s="7" t="s">
        <v>139</v>
      </c>
      <c r="T104" s="7" t="s">
        <v>869</v>
      </c>
      <c r="U104" s="7"/>
      <c r="V104" s="7"/>
      <c r="W104" s="7"/>
      <c r="X104" s="7"/>
      <c r="Y104" s="7"/>
      <c r="Z104" s="7"/>
      <c r="AA104" s="7"/>
      <c r="AB104" s="7" t="str">
        <f t="shared" si="6"/>
        <v/>
      </c>
      <c r="AC104" s="7" t="str">
        <f t="shared" si="7"/>
        <v>NO</v>
      </c>
      <c r="AD104" s="12"/>
    </row>
    <row r="105" spans="1:30" ht="60">
      <c r="A105" s="11" t="s">
        <v>655</v>
      </c>
      <c r="B105" s="7" t="s">
        <v>656</v>
      </c>
      <c r="C105" s="7" t="s">
        <v>546</v>
      </c>
      <c r="D105" s="7" t="s">
        <v>547</v>
      </c>
      <c r="E105" s="7" t="s">
        <v>59</v>
      </c>
      <c r="F105" s="7" t="s">
        <v>60</v>
      </c>
      <c r="G105" s="7" t="s">
        <v>61</v>
      </c>
      <c r="H105" s="7" t="s">
        <v>657</v>
      </c>
      <c r="I105" s="7"/>
      <c r="J105" s="7"/>
      <c r="K105" s="7" t="s">
        <v>658</v>
      </c>
      <c r="L105" s="7" t="s">
        <v>659</v>
      </c>
      <c r="M105" s="7" t="s">
        <v>660</v>
      </c>
      <c r="N105" s="7"/>
      <c r="O105" s="7"/>
      <c r="P105" s="7"/>
      <c r="Q105" s="7"/>
      <c r="R105" s="7">
        <v>2</v>
      </c>
      <c r="S105" s="7" t="s">
        <v>216</v>
      </c>
      <c r="T105" s="7"/>
      <c r="U105" s="7"/>
      <c r="V105" s="7" t="s">
        <v>871</v>
      </c>
      <c r="W105" s="7"/>
      <c r="X105" s="7"/>
      <c r="Y105" s="7"/>
      <c r="Z105" s="7"/>
      <c r="AA105" s="7"/>
      <c r="AB105" s="7" t="str">
        <f t="shared" si="6"/>
        <v>REVIEW</v>
      </c>
      <c r="AC105" s="7" t="str">
        <f t="shared" si="7"/>
        <v>NO</v>
      </c>
      <c r="AD105" s="12"/>
    </row>
    <row r="106" spans="1:30" ht="45">
      <c r="A106" s="11" t="s">
        <v>661</v>
      </c>
      <c r="B106" s="7" t="s">
        <v>662</v>
      </c>
      <c r="C106" s="7" t="s">
        <v>546</v>
      </c>
      <c r="D106" s="7" t="s">
        <v>547</v>
      </c>
      <c r="E106" s="7" t="s">
        <v>59</v>
      </c>
      <c r="F106" s="7" t="s">
        <v>76</v>
      </c>
      <c r="G106" s="7" t="s">
        <v>61</v>
      </c>
      <c r="H106" s="7" t="s">
        <v>663</v>
      </c>
      <c r="I106" s="7"/>
      <c r="J106" s="7"/>
      <c r="K106" s="7" t="s">
        <v>664</v>
      </c>
      <c r="L106" s="7" t="s">
        <v>665</v>
      </c>
      <c r="M106" s="7" t="s">
        <v>666</v>
      </c>
      <c r="N106" s="7"/>
      <c r="O106" s="7"/>
      <c r="P106" s="7"/>
      <c r="Q106" s="7"/>
      <c r="R106" s="7">
        <v>1</v>
      </c>
      <c r="S106" s="7" t="s">
        <v>67</v>
      </c>
      <c r="T106" s="7" t="s">
        <v>870</v>
      </c>
      <c r="U106" s="7"/>
      <c r="V106" s="7"/>
      <c r="W106" s="7"/>
      <c r="X106" s="7"/>
      <c r="Y106" s="7"/>
      <c r="Z106" s="7"/>
      <c r="AA106" s="7"/>
      <c r="AB106" s="7" t="str">
        <f t="shared" si="6"/>
        <v/>
      </c>
      <c r="AC106" s="7" t="str">
        <f t="shared" si="7"/>
        <v>NO</v>
      </c>
      <c r="AD106" s="12"/>
    </row>
    <row r="107" spans="1:30" ht="45">
      <c r="A107" s="11" t="s">
        <v>667</v>
      </c>
      <c r="B107" s="7" t="s">
        <v>662</v>
      </c>
      <c r="C107" s="7" t="s">
        <v>546</v>
      </c>
      <c r="D107" s="7" t="s">
        <v>547</v>
      </c>
      <c r="E107" s="7" t="s">
        <v>59</v>
      </c>
      <c r="F107" s="7" t="s">
        <v>76</v>
      </c>
      <c r="G107" s="7" t="s">
        <v>61</v>
      </c>
      <c r="H107" s="7" t="s">
        <v>663</v>
      </c>
      <c r="I107" s="7"/>
      <c r="J107" s="7"/>
      <c r="K107" s="7" t="s">
        <v>664</v>
      </c>
      <c r="L107" s="7" t="s">
        <v>668</v>
      </c>
      <c r="M107" s="7" t="s">
        <v>666</v>
      </c>
      <c r="N107" s="7"/>
      <c r="O107" s="7"/>
      <c r="P107" s="7"/>
      <c r="Q107" s="7"/>
      <c r="R107" s="7">
        <v>1</v>
      </c>
      <c r="S107" s="7" t="s">
        <v>155</v>
      </c>
      <c r="T107" s="7" t="s">
        <v>870</v>
      </c>
      <c r="U107" s="7"/>
      <c r="V107" s="7"/>
      <c r="W107" s="7"/>
      <c r="X107" s="7"/>
      <c r="Y107" s="7"/>
      <c r="Z107" s="7"/>
      <c r="AA107" s="7"/>
      <c r="AB107" s="7" t="str">
        <f t="shared" si="6"/>
        <v/>
      </c>
      <c r="AC107" s="7" t="str">
        <f t="shared" si="7"/>
        <v>NO</v>
      </c>
      <c r="AD107" s="12"/>
    </row>
    <row r="108" spans="1:30" ht="30">
      <c r="A108" s="11" t="s">
        <v>669</v>
      </c>
      <c r="B108" s="7" t="s">
        <v>670</v>
      </c>
      <c r="C108" s="7" t="s">
        <v>546</v>
      </c>
      <c r="D108" s="7" t="s">
        <v>547</v>
      </c>
      <c r="E108" s="7" t="s">
        <v>59</v>
      </c>
      <c r="F108" s="7" t="s">
        <v>60</v>
      </c>
      <c r="G108" s="7" t="s">
        <v>61</v>
      </c>
      <c r="H108" s="7" t="s">
        <v>671</v>
      </c>
      <c r="I108" s="7"/>
      <c r="J108" s="7"/>
      <c r="K108" s="7" t="s">
        <v>672</v>
      </c>
      <c r="L108" s="7" t="s">
        <v>673</v>
      </c>
      <c r="M108" s="7" t="s">
        <v>674</v>
      </c>
      <c r="N108" s="7"/>
      <c r="O108" s="7"/>
      <c r="P108" s="7"/>
      <c r="Q108" s="7"/>
      <c r="R108" s="7">
        <v>1</v>
      </c>
      <c r="S108" s="7" t="s">
        <v>91</v>
      </c>
      <c r="T108" s="7" t="s">
        <v>869</v>
      </c>
      <c r="U108" s="7"/>
      <c r="V108" s="7"/>
      <c r="W108" s="7"/>
      <c r="X108" s="7"/>
      <c r="Y108" s="7"/>
      <c r="Z108" s="7"/>
      <c r="AA108" s="7"/>
      <c r="AB108" s="7" t="str">
        <f t="shared" si="6"/>
        <v/>
      </c>
      <c r="AC108" s="7" t="str">
        <f t="shared" si="7"/>
        <v>NO</v>
      </c>
      <c r="AD108" s="12"/>
    </row>
    <row r="109" spans="1:30" ht="45">
      <c r="A109" s="11" t="s">
        <v>675</v>
      </c>
      <c r="B109" s="7" t="s">
        <v>676</v>
      </c>
      <c r="C109" s="7" t="s">
        <v>546</v>
      </c>
      <c r="D109" s="7" t="s">
        <v>547</v>
      </c>
      <c r="E109" s="7" t="s">
        <v>59</v>
      </c>
      <c r="F109" s="7" t="s">
        <v>60</v>
      </c>
      <c r="G109" s="7" t="s">
        <v>61</v>
      </c>
      <c r="H109" s="7" t="s">
        <v>677</v>
      </c>
      <c r="I109" s="7"/>
      <c r="J109" s="7"/>
      <c r="K109" s="7" t="s">
        <v>678</v>
      </c>
      <c r="L109" s="7" t="s">
        <v>679</v>
      </c>
      <c r="M109" s="7" t="s">
        <v>680</v>
      </c>
      <c r="N109" s="7"/>
      <c r="O109" s="7"/>
      <c r="P109" s="7"/>
      <c r="Q109" s="7" t="s">
        <v>66</v>
      </c>
      <c r="R109" s="7">
        <v>2</v>
      </c>
      <c r="S109" s="7" t="s">
        <v>451</v>
      </c>
      <c r="T109" s="7" t="s">
        <v>869</v>
      </c>
      <c r="U109" s="7"/>
      <c r="V109" s="7"/>
      <c r="W109" s="7"/>
      <c r="X109" s="7"/>
      <c r="Y109" s="7"/>
      <c r="Z109" s="7"/>
      <c r="AA109" s="7"/>
      <c r="AB109" s="7" t="str">
        <f t="shared" si="6"/>
        <v/>
      </c>
      <c r="AC109" s="7" t="str">
        <f t="shared" si="7"/>
        <v>NO</v>
      </c>
      <c r="AD109" s="12"/>
    </row>
    <row r="110" spans="1:30" ht="45">
      <c r="A110" s="11" t="s">
        <v>681</v>
      </c>
      <c r="B110" s="7" t="s">
        <v>682</v>
      </c>
      <c r="C110" s="7" t="s">
        <v>546</v>
      </c>
      <c r="D110" s="7" t="s">
        <v>547</v>
      </c>
      <c r="E110" s="7" t="s">
        <v>59</v>
      </c>
      <c r="F110" s="7" t="s">
        <v>76</v>
      </c>
      <c r="G110" s="7" t="s">
        <v>61</v>
      </c>
      <c r="H110" s="7" t="s">
        <v>683</v>
      </c>
      <c r="I110" s="7"/>
      <c r="J110" s="7"/>
      <c r="K110" s="7" t="s">
        <v>684</v>
      </c>
      <c r="L110" s="7" t="s">
        <v>685</v>
      </c>
      <c r="M110" s="7" t="s">
        <v>686</v>
      </c>
      <c r="N110" s="7"/>
      <c r="O110" s="7"/>
      <c r="P110" s="7"/>
      <c r="Q110" s="7"/>
      <c r="R110" s="7">
        <v>1</v>
      </c>
      <c r="S110" s="7" t="s">
        <v>67</v>
      </c>
      <c r="T110" s="7" t="s">
        <v>870</v>
      </c>
      <c r="U110" s="7"/>
      <c r="V110" s="7"/>
      <c r="W110" s="7"/>
      <c r="X110" s="7"/>
      <c r="Y110" s="7"/>
      <c r="Z110" s="7"/>
      <c r="AA110" s="7"/>
      <c r="AB110" s="7" t="str">
        <f t="shared" si="6"/>
        <v/>
      </c>
      <c r="AC110" s="7" t="str">
        <f t="shared" si="7"/>
        <v>NO</v>
      </c>
      <c r="AD110" s="12"/>
    </row>
    <row r="111" spans="1:30" ht="45">
      <c r="A111" s="13" t="s">
        <v>687</v>
      </c>
      <c r="B111" s="14" t="s">
        <v>682</v>
      </c>
      <c r="C111" s="14" t="s">
        <v>546</v>
      </c>
      <c r="D111" s="14" t="s">
        <v>547</v>
      </c>
      <c r="E111" s="14" t="s">
        <v>59</v>
      </c>
      <c r="F111" s="14" t="s">
        <v>76</v>
      </c>
      <c r="G111" s="14" t="s">
        <v>61</v>
      </c>
      <c r="H111" s="14" t="s">
        <v>683</v>
      </c>
      <c r="I111" s="14"/>
      <c r="J111" s="14"/>
      <c r="K111" s="14" t="s">
        <v>684</v>
      </c>
      <c r="L111" s="14" t="s">
        <v>688</v>
      </c>
      <c r="M111" s="14" t="s">
        <v>686</v>
      </c>
      <c r="N111" s="14"/>
      <c r="O111" s="14"/>
      <c r="P111" s="14"/>
      <c r="Q111" s="14"/>
      <c r="R111" s="14">
        <v>1</v>
      </c>
      <c r="S111" s="14" t="s">
        <v>155</v>
      </c>
      <c r="T111" s="14" t="s">
        <v>869</v>
      </c>
      <c r="U111" s="14"/>
      <c r="V111" s="14"/>
      <c r="W111" s="14"/>
      <c r="X111" s="14"/>
      <c r="Y111" s="14"/>
      <c r="Z111" s="14"/>
      <c r="AA111" s="14"/>
      <c r="AB111" s="14" t="str">
        <f t="shared" si="6"/>
        <v/>
      </c>
      <c r="AC111" s="14" t="str">
        <f t="shared" si="7"/>
        <v>NO</v>
      </c>
      <c r="AD111" s="15"/>
    </row>
  </sheetData>
  <conditionalFormatting sqref="Y2:Y111">
    <cfRule type="expression" dxfId="4" priority="1">
      <formula>Y2="pass_equivalent"</formula>
    </cfRule>
    <cfRule type="expression" dxfId="3" priority="2">
      <formula>OR(Y2="fail_semantic",Y2="fail_clarification")</formula>
    </cfRule>
    <cfRule type="expression" dxfId="2" priority="3">
      <formula>Y2="uncertain"</formula>
    </cfRule>
  </conditionalFormatting>
  <conditionalFormatting sqref="AB2:AB111">
    <cfRule type="expression" dxfId="1" priority="4">
      <formula>AB2="REVIEW"</formula>
    </cfRule>
  </conditionalFormatting>
  <conditionalFormatting sqref="AC2:AC111">
    <cfRule type="expression" dxfId="0" priority="5">
      <formula>AC2="NO"</formula>
    </cfRule>
  </conditionalFormatting>
  <dataValidations count="2">
    <dataValidation type="list" sqref="S2:S111 Y2:Y111 V2:V111" xr:uid="{00000000-0002-0000-0100-000000000000}">
      <formula1>"pass_equivalent,fail_semantic,fail_clarification,uncertain"</formula1>
    </dataValidation>
    <dataValidation type="list" sqref="W2:W111 Z2:Z111 T2:T10 T16 T19 T23:T24 T27 T38:T47 T50:T52 T54:T55 T57 T64 T66 T68 T70 T77:T111" xr:uid="{00000000-0002-0000-0100-000003000000}">
      <formula1>_xlfn._LONGTEXT("boolean_shorthand_equivalent,algebraic_symmetry_equivalent,commutative_reordering_equivalent,alternative_valid_formula,wrong_temporal_bounds,wrong_temporal_operator,wrong_trigger_or_event_semantics,wrong_scope_or_nesting,identifier_mismatch,threshold_or_c","onstant_error,clarification_wrong_slot,clarification_insufficient,evaluator_or_parser_limitation,other")</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2"/>
  <sheetViews>
    <sheetView topLeftCell="A147" workbookViewId="0"/>
  </sheetViews>
  <sheetFormatPr baseColWidth="10" defaultColWidth="8.83203125" defaultRowHeight="14"/>
  <cols>
    <col min="1" max="1" width="11" customWidth="1"/>
    <col min="2" max="2" width="26" customWidth="1"/>
    <col min="3" max="3" width="12" customWidth="1"/>
    <col min="4" max="4" width="30" customWidth="1"/>
    <col min="5" max="5" width="14" customWidth="1"/>
    <col min="6" max="6" width="10" customWidth="1"/>
    <col min="7" max="7" width="34" customWidth="1"/>
    <col min="8" max="9" width="48" customWidth="1"/>
    <col min="10" max="10" width="42" customWidth="1"/>
  </cols>
  <sheetData>
    <row r="1" spans="1:10" ht="16">
      <c r="A1" s="16" t="s">
        <v>25</v>
      </c>
      <c r="B1" s="16" t="s">
        <v>689</v>
      </c>
      <c r="C1" s="16" t="s">
        <v>690</v>
      </c>
      <c r="D1" s="16" t="s">
        <v>691</v>
      </c>
      <c r="E1" s="16" t="s">
        <v>26</v>
      </c>
      <c r="F1" s="16" t="s">
        <v>692</v>
      </c>
      <c r="G1" s="16" t="s">
        <v>31</v>
      </c>
      <c r="H1" s="16" t="s">
        <v>36</v>
      </c>
      <c r="I1" s="16" t="s">
        <v>37</v>
      </c>
      <c r="J1" s="16" t="s">
        <v>39</v>
      </c>
    </row>
    <row r="2" spans="1:10" ht="30">
      <c r="A2" s="1" t="s">
        <v>55</v>
      </c>
      <c r="B2" s="1" t="s">
        <v>67</v>
      </c>
      <c r="C2" s="1" t="s">
        <v>693</v>
      </c>
      <c r="D2" s="1" t="s">
        <v>694</v>
      </c>
      <c r="E2" s="1" t="s">
        <v>56</v>
      </c>
      <c r="F2" s="1" t="s">
        <v>695</v>
      </c>
      <c r="G2" s="1" t="s">
        <v>61</v>
      </c>
      <c r="H2" s="1" t="s">
        <v>64</v>
      </c>
      <c r="I2" s="1" t="s">
        <v>65</v>
      </c>
      <c r="J2" s="1"/>
    </row>
    <row r="3" spans="1:10" ht="30">
      <c r="A3" s="1" t="s">
        <v>68</v>
      </c>
      <c r="B3" s="1" t="s">
        <v>67</v>
      </c>
      <c r="C3" s="1" t="s">
        <v>693</v>
      </c>
      <c r="D3" s="1" t="s">
        <v>694</v>
      </c>
      <c r="E3" s="1" t="s">
        <v>69</v>
      </c>
      <c r="F3" s="1" t="s">
        <v>695</v>
      </c>
      <c r="G3" s="1" t="s">
        <v>61</v>
      </c>
      <c r="H3" s="1" t="s">
        <v>72</v>
      </c>
      <c r="I3" s="1" t="s">
        <v>73</v>
      </c>
      <c r="J3" s="1"/>
    </row>
    <row r="4" spans="1:10" ht="30">
      <c r="A4" s="1" t="s">
        <v>74</v>
      </c>
      <c r="B4" s="1" t="s">
        <v>155</v>
      </c>
      <c r="C4" s="1" t="s">
        <v>696</v>
      </c>
      <c r="D4" s="1" t="s">
        <v>697</v>
      </c>
      <c r="E4" s="1" t="s">
        <v>75</v>
      </c>
      <c r="F4" s="1" t="s">
        <v>695</v>
      </c>
      <c r="G4" s="1" t="s">
        <v>61</v>
      </c>
      <c r="H4" s="1" t="s">
        <v>79</v>
      </c>
      <c r="I4" s="1" t="s">
        <v>80</v>
      </c>
      <c r="J4" s="1"/>
    </row>
    <row r="5" spans="1:10" ht="30">
      <c r="A5" s="1" t="s">
        <v>74</v>
      </c>
      <c r="B5" s="1" t="s">
        <v>67</v>
      </c>
      <c r="C5" s="1" t="s">
        <v>693</v>
      </c>
      <c r="D5" s="1" t="s">
        <v>694</v>
      </c>
      <c r="E5" s="1" t="s">
        <v>75</v>
      </c>
      <c r="F5" s="1" t="s">
        <v>695</v>
      </c>
      <c r="G5" s="1" t="s">
        <v>61</v>
      </c>
      <c r="H5" s="1" t="s">
        <v>79</v>
      </c>
      <c r="I5" s="1" t="s">
        <v>80</v>
      </c>
      <c r="J5" s="1"/>
    </row>
    <row r="6" spans="1:10" ht="30">
      <c r="A6" s="1" t="s">
        <v>74</v>
      </c>
      <c r="B6" s="1" t="s">
        <v>91</v>
      </c>
      <c r="C6" s="1" t="s">
        <v>698</v>
      </c>
      <c r="D6" s="1" t="s">
        <v>699</v>
      </c>
      <c r="E6" s="1" t="s">
        <v>75</v>
      </c>
      <c r="F6" s="1" t="s">
        <v>695</v>
      </c>
      <c r="G6" s="1" t="s">
        <v>61</v>
      </c>
      <c r="H6" s="1" t="s">
        <v>79</v>
      </c>
      <c r="I6" s="1" t="s">
        <v>80</v>
      </c>
      <c r="J6" s="1"/>
    </row>
    <row r="7" spans="1:10" ht="30">
      <c r="A7" s="1" t="s">
        <v>82</v>
      </c>
      <c r="B7" s="1" t="s">
        <v>155</v>
      </c>
      <c r="C7" s="1" t="s">
        <v>696</v>
      </c>
      <c r="D7" s="1" t="s">
        <v>697</v>
      </c>
      <c r="E7" s="1" t="s">
        <v>83</v>
      </c>
      <c r="F7" s="1" t="s">
        <v>695</v>
      </c>
      <c r="G7" s="1" t="s">
        <v>61</v>
      </c>
      <c r="H7" s="1" t="s">
        <v>86</v>
      </c>
      <c r="I7" s="1" t="s">
        <v>87</v>
      </c>
      <c r="J7" s="1"/>
    </row>
    <row r="8" spans="1:10" ht="30">
      <c r="A8" s="1" t="s">
        <v>82</v>
      </c>
      <c r="B8" s="1" t="s">
        <v>67</v>
      </c>
      <c r="C8" s="1" t="s">
        <v>693</v>
      </c>
      <c r="D8" s="1" t="s">
        <v>694</v>
      </c>
      <c r="E8" s="1" t="s">
        <v>83</v>
      </c>
      <c r="F8" s="1" t="s">
        <v>695</v>
      </c>
      <c r="G8" s="1" t="s">
        <v>61</v>
      </c>
      <c r="H8" s="1" t="s">
        <v>86</v>
      </c>
      <c r="I8" s="1" t="s">
        <v>87</v>
      </c>
      <c r="J8" s="1"/>
    </row>
    <row r="9" spans="1:10" ht="30">
      <c r="A9" s="1" t="s">
        <v>82</v>
      </c>
      <c r="B9" s="1" t="s">
        <v>139</v>
      </c>
      <c r="C9" s="1" t="s">
        <v>698</v>
      </c>
      <c r="D9" s="1" t="s">
        <v>700</v>
      </c>
      <c r="E9" s="1" t="s">
        <v>83</v>
      </c>
      <c r="F9" s="1" t="s">
        <v>695</v>
      </c>
      <c r="G9" s="1" t="s">
        <v>61</v>
      </c>
      <c r="H9" s="1" t="s">
        <v>86</v>
      </c>
      <c r="I9" s="1" t="s">
        <v>87</v>
      </c>
      <c r="J9" s="1"/>
    </row>
    <row r="10" spans="1:10" ht="30">
      <c r="A10" s="1" t="s">
        <v>89</v>
      </c>
      <c r="B10" s="1" t="s">
        <v>91</v>
      </c>
      <c r="C10" s="1" t="s">
        <v>698</v>
      </c>
      <c r="D10" s="1" t="s">
        <v>699</v>
      </c>
      <c r="E10" s="1" t="s">
        <v>83</v>
      </c>
      <c r="F10" s="1" t="s">
        <v>695</v>
      </c>
      <c r="G10" s="1" t="s">
        <v>61</v>
      </c>
      <c r="H10" s="1" t="s">
        <v>90</v>
      </c>
      <c r="I10" s="1" t="s">
        <v>87</v>
      </c>
      <c r="J10" s="1"/>
    </row>
    <row r="11" spans="1:10" ht="30">
      <c r="A11" s="1" t="s">
        <v>92</v>
      </c>
      <c r="B11" s="1" t="s">
        <v>67</v>
      </c>
      <c r="C11" s="1" t="s">
        <v>693</v>
      </c>
      <c r="D11" s="1" t="s">
        <v>694</v>
      </c>
      <c r="E11" s="1" t="s">
        <v>93</v>
      </c>
      <c r="F11" s="1" t="s">
        <v>695</v>
      </c>
      <c r="G11" s="1" t="s">
        <v>61</v>
      </c>
      <c r="H11" s="1" t="s">
        <v>97</v>
      </c>
      <c r="I11" s="1" t="s">
        <v>98</v>
      </c>
      <c r="J11" s="1"/>
    </row>
    <row r="12" spans="1:10" ht="30">
      <c r="A12" s="1" t="s">
        <v>99</v>
      </c>
      <c r="B12" s="1" t="s">
        <v>67</v>
      </c>
      <c r="C12" s="1" t="s">
        <v>693</v>
      </c>
      <c r="D12" s="1" t="s">
        <v>694</v>
      </c>
      <c r="E12" s="1" t="s">
        <v>100</v>
      </c>
      <c r="F12" s="1" t="s">
        <v>695</v>
      </c>
      <c r="G12" s="1" t="s">
        <v>61</v>
      </c>
      <c r="H12" s="1" t="s">
        <v>103</v>
      </c>
      <c r="I12" s="1" t="s">
        <v>104</v>
      </c>
      <c r="J12" s="1"/>
    </row>
    <row r="13" spans="1:10" ht="30">
      <c r="A13" s="1" t="s">
        <v>105</v>
      </c>
      <c r="B13" s="1" t="s">
        <v>91</v>
      </c>
      <c r="C13" s="1" t="s">
        <v>698</v>
      </c>
      <c r="D13" s="1" t="s">
        <v>699</v>
      </c>
      <c r="E13" s="1" t="s">
        <v>106</v>
      </c>
      <c r="F13" s="1" t="s">
        <v>695</v>
      </c>
      <c r="G13" s="1" t="s">
        <v>61</v>
      </c>
      <c r="H13" s="1" t="s">
        <v>109</v>
      </c>
      <c r="I13" s="1" t="s">
        <v>110</v>
      </c>
      <c r="J13" s="1"/>
    </row>
    <row r="14" spans="1:10" ht="30">
      <c r="A14" s="1" t="s">
        <v>111</v>
      </c>
      <c r="B14" s="1" t="s">
        <v>155</v>
      </c>
      <c r="C14" s="1" t="s">
        <v>696</v>
      </c>
      <c r="D14" s="1" t="s">
        <v>697</v>
      </c>
      <c r="E14" s="1" t="s">
        <v>106</v>
      </c>
      <c r="F14" s="1" t="s">
        <v>695</v>
      </c>
      <c r="G14" s="1" t="s">
        <v>61</v>
      </c>
      <c r="H14" s="1" t="s">
        <v>112</v>
      </c>
      <c r="I14" s="1" t="s">
        <v>110</v>
      </c>
      <c r="J14" s="1"/>
    </row>
    <row r="15" spans="1:10" ht="30">
      <c r="A15" s="1" t="s">
        <v>111</v>
      </c>
      <c r="B15" s="1" t="s">
        <v>67</v>
      </c>
      <c r="C15" s="1" t="s">
        <v>693</v>
      </c>
      <c r="D15" s="1" t="s">
        <v>694</v>
      </c>
      <c r="E15" s="1" t="s">
        <v>106</v>
      </c>
      <c r="F15" s="1" t="s">
        <v>695</v>
      </c>
      <c r="G15" s="1" t="s">
        <v>61</v>
      </c>
      <c r="H15" s="1" t="s">
        <v>112</v>
      </c>
      <c r="I15" s="1" t="s">
        <v>110</v>
      </c>
      <c r="J15" s="1"/>
    </row>
    <row r="16" spans="1:10" ht="45">
      <c r="A16" s="1" t="s">
        <v>114</v>
      </c>
      <c r="B16" s="1" t="s">
        <v>155</v>
      </c>
      <c r="C16" s="1" t="s">
        <v>696</v>
      </c>
      <c r="D16" s="1" t="s">
        <v>697</v>
      </c>
      <c r="E16" s="1" t="s">
        <v>115</v>
      </c>
      <c r="F16" s="1" t="s">
        <v>695</v>
      </c>
      <c r="G16" s="1" t="s">
        <v>61</v>
      </c>
      <c r="H16" s="1" t="s">
        <v>121</v>
      </c>
      <c r="I16" s="1" t="s">
        <v>122</v>
      </c>
      <c r="J16" s="1" t="s">
        <v>123</v>
      </c>
    </row>
    <row r="17" spans="1:10" ht="45">
      <c r="A17" s="1" t="s">
        <v>114</v>
      </c>
      <c r="B17" s="1" t="s">
        <v>91</v>
      </c>
      <c r="C17" s="1" t="s">
        <v>698</v>
      </c>
      <c r="D17" s="1" t="s">
        <v>699</v>
      </c>
      <c r="E17" s="1" t="s">
        <v>115</v>
      </c>
      <c r="F17" s="1" t="s">
        <v>695</v>
      </c>
      <c r="G17" s="1" t="s">
        <v>61</v>
      </c>
      <c r="H17" s="1" t="s">
        <v>121</v>
      </c>
      <c r="I17" s="1" t="s">
        <v>122</v>
      </c>
      <c r="J17" s="1" t="s">
        <v>701</v>
      </c>
    </row>
    <row r="18" spans="1:10" ht="60">
      <c r="A18" s="1" t="s">
        <v>114</v>
      </c>
      <c r="B18" s="1" t="s">
        <v>139</v>
      </c>
      <c r="C18" s="1" t="s">
        <v>698</v>
      </c>
      <c r="D18" s="1" t="s">
        <v>700</v>
      </c>
      <c r="E18" s="1" t="s">
        <v>115</v>
      </c>
      <c r="F18" s="1" t="s">
        <v>695</v>
      </c>
      <c r="G18" s="1" t="s">
        <v>61</v>
      </c>
      <c r="H18" s="1" t="s">
        <v>121</v>
      </c>
      <c r="I18" s="1" t="s">
        <v>122</v>
      </c>
      <c r="J18" s="1" t="s">
        <v>702</v>
      </c>
    </row>
    <row r="19" spans="1:10" ht="45">
      <c r="A19" s="1" t="s">
        <v>126</v>
      </c>
      <c r="B19" s="1" t="s">
        <v>67</v>
      </c>
      <c r="C19" s="1" t="s">
        <v>693</v>
      </c>
      <c r="D19" s="1" t="s">
        <v>694</v>
      </c>
      <c r="E19" s="1" t="s">
        <v>127</v>
      </c>
      <c r="F19" s="1" t="s">
        <v>695</v>
      </c>
      <c r="G19" s="1" t="s">
        <v>61</v>
      </c>
      <c r="H19" s="1" t="s">
        <v>132</v>
      </c>
      <c r="I19" s="1" t="s">
        <v>133</v>
      </c>
      <c r="J19" s="1" t="s">
        <v>134</v>
      </c>
    </row>
    <row r="20" spans="1:10" ht="75">
      <c r="A20" s="1" t="s">
        <v>136</v>
      </c>
      <c r="B20" s="1" t="s">
        <v>139</v>
      </c>
      <c r="C20" s="1" t="s">
        <v>698</v>
      </c>
      <c r="D20" s="1" t="s">
        <v>700</v>
      </c>
      <c r="E20" s="1" t="s">
        <v>127</v>
      </c>
      <c r="F20" s="1" t="s">
        <v>695</v>
      </c>
      <c r="G20" s="1" t="s">
        <v>61</v>
      </c>
      <c r="H20" s="1" t="s">
        <v>137</v>
      </c>
      <c r="I20" s="1" t="s">
        <v>133</v>
      </c>
      <c r="J20" s="1" t="s">
        <v>138</v>
      </c>
    </row>
    <row r="21" spans="1:10" ht="30">
      <c r="A21" s="1" t="s">
        <v>140</v>
      </c>
      <c r="B21" s="1" t="s">
        <v>155</v>
      </c>
      <c r="C21" s="1" t="s">
        <v>696</v>
      </c>
      <c r="D21" s="1" t="s">
        <v>697</v>
      </c>
      <c r="E21" s="1" t="s">
        <v>127</v>
      </c>
      <c r="F21" s="1" t="s">
        <v>695</v>
      </c>
      <c r="G21" s="1" t="s">
        <v>61</v>
      </c>
      <c r="H21" s="1" t="s">
        <v>141</v>
      </c>
      <c r="I21" s="1" t="s">
        <v>133</v>
      </c>
      <c r="J21" s="1" t="s">
        <v>142</v>
      </c>
    </row>
    <row r="22" spans="1:10" ht="30">
      <c r="A22" s="1" t="s">
        <v>140</v>
      </c>
      <c r="B22" s="1" t="s">
        <v>91</v>
      </c>
      <c r="C22" s="1" t="s">
        <v>698</v>
      </c>
      <c r="D22" s="1" t="s">
        <v>699</v>
      </c>
      <c r="E22" s="1" t="s">
        <v>127</v>
      </c>
      <c r="F22" s="1" t="s">
        <v>695</v>
      </c>
      <c r="G22" s="1" t="s">
        <v>61</v>
      </c>
      <c r="H22" s="1" t="s">
        <v>141</v>
      </c>
      <c r="I22" s="1" t="s">
        <v>133</v>
      </c>
      <c r="J22" s="1" t="s">
        <v>703</v>
      </c>
    </row>
    <row r="23" spans="1:10" ht="60">
      <c r="A23" s="1" t="s">
        <v>144</v>
      </c>
      <c r="B23" s="1" t="s">
        <v>155</v>
      </c>
      <c r="C23" s="1" t="s">
        <v>696</v>
      </c>
      <c r="D23" s="1" t="s">
        <v>697</v>
      </c>
      <c r="E23" s="1" t="s">
        <v>145</v>
      </c>
      <c r="F23" s="1" t="s">
        <v>695</v>
      </c>
      <c r="G23" s="1" t="s">
        <v>146</v>
      </c>
      <c r="H23" s="1" t="s">
        <v>151</v>
      </c>
      <c r="I23" s="1" t="s">
        <v>151</v>
      </c>
      <c r="J23" s="1" t="s">
        <v>152</v>
      </c>
    </row>
    <row r="24" spans="1:10" ht="60">
      <c r="A24" s="1" t="s">
        <v>156</v>
      </c>
      <c r="B24" s="1" t="s">
        <v>139</v>
      </c>
      <c r="C24" s="1" t="s">
        <v>698</v>
      </c>
      <c r="D24" s="1" t="s">
        <v>700</v>
      </c>
      <c r="E24" s="1" t="s">
        <v>145</v>
      </c>
      <c r="F24" s="1" t="s">
        <v>695</v>
      </c>
      <c r="G24" s="1" t="s">
        <v>61</v>
      </c>
      <c r="H24" s="1" t="s">
        <v>157</v>
      </c>
      <c r="I24" s="1" t="s">
        <v>151</v>
      </c>
      <c r="J24" s="1" t="s">
        <v>158</v>
      </c>
    </row>
    <row r="25" spans="1:10" ht="90">
      <c r="A25" s="1" t="s">
        <v>159</v>
      </c>
      <c r="B25" s="1" t="s">
        <v>67</v>
      </c>
      <c r="C25" s="1" t="s">
        <v>693</v>
      </c>
      <c r="D25" s="1" t="s">
        <v>694</v>
      </c>
      <c r="E25" s="1" t="s">
        <v>145</v>
      </c>
      <c r="F25" s="1" t="s">
        <v>695</v>
      </c>
      <c r="G25" s="1" t="s">
        <v>61</v>
      </c>
      <c r="H25" s="1" t="s">
        <v>160</v>
      </c>
      <c r="I25" s="1" t="s">
        <v>151</v>
      </c>
      <c r="J25" s="1" t="s">
        <v>161</v>
      </c>
    </row>
    <row r="26" spans="1:10" ht="30">
      <c r="A26" s="1" t="s">
        <v>162</v>
      </c>
      <c r="B26" s="1" t="s">
        <v>67</v>
      </c>
      <c r="C26" s="1" t="s">
        <v>693</v>
      </c>
      <c r="D26" s="1" t="s">
        <v>694</v>
      </c>
      <c r="E26" s="1" t="s">
        <v>163</v>
      </c>
      <c r="F26" s="1" t="s">
        <v>695</v>
      </c>
      <c r="G26" s="1" t="s">
        <v>61</v>
      </c>
      <c r="H26" s="1" t="s">
        <v>166</v>
      </c>
      <c r="I26" s="1" t="s">
        <v>167</v>
      </c>
      <c r="J26" s="1"/>
    </row>
    <row r="27" spans="1:10" ht="45">
      <c r="A27" s="1" t="s">
        <v>168</v>
      </c>
      <c r="B27" s="1" t="s">
        <v>155</v>
      </c>
      <c r="C27" s="1" t="s">
        <v>696</v>
      </c>
      <c r="D27" s="1" t="s">
        <v>697</v>
      </c>
      <c r="E27" s="1" t="s">
        <v>163</v>
      </c>
      <c r="F27" s="1" t="s">
        <v>695</v>
      </c>
      <c r="G27" s="1" t="s">
        <v>61</v>
      </c>
      <c r="H27" s="1" t="s">
        <v>169</v>
      </c>
      <c r="I27" s="1" t="s">
        <v>167</v>
      </c>
      <c r="J27" s="1"/>
    </row>
    <row r="28" spans="1:10" ht="45">
      <c r="A28" s="1" t="s">
        <v>168</v>
      </c>
      <c r="B28" s="1" t="s">
        <v>91</v>
      </c>
      <c r="C28" s="1" t="s">
        <v>698</v>
      </c>
      <c r="D28" s="1" t="s">
        <v>699</v>
      </c>
      <c r="E28" s="1" t="s">
        <v>163</v>
      </c>
      <c r="F28" s="1" t="s">
        <v>695</v>
      </c>
      <c r="G28" s="1" t="s">
        <v>61</v>
      </c>
      <c r="H28" s="1" t="s">
        <v>169</v>
      </c>
      <c r="I28" s="1" t="s">
        <v>167</v>
      </c>
      <c r="J28" s="1"/>
    </row>
    <row r="29" spans="1:10" ht="30">
      <c r="A29" s="1" t="s">
        <v>170</v>
      </c>
      <c r="B29" s="1" t="s">
        <v>67</v>
      </c>
      <c r="C29" s="1" t="s">
        <v>693</v>
      </c>
      <c r="D29" s="1" t="s">
        <v>694</v>
      </c>
      <c r="E29" s="1" t="s">
        <v>171</v>
      </c>
      <c r="F29" s="1" t="s">
        <v>695</v>
      </c>
      <c r="G29" s="1" t="s">
        <v>61</v>
      </c>
      <c r="H29" s="1" t="s">
        <v>174</v>
      </c>
      <c r="I29" s="1" t="s">
        <v>175</v>
      </c>
      <c r="J29" s="1"/>
    </row>
    <row r="30" spans="1:10" ht="45">
      <c r="A30" s="1" t="s">
        <v>176</v>
      </c>
      <c r="B30" s="1" t="s">
        <v>67</v>
      </c>
      <c r="C30" s="1" t="s">
        <v>693</v>
      </c>
      <c r="D30" s="1" t="s">
        <v>694</v>
      </c>
      <c r="E30" s="1" t="s">
        <v>177</v>
      </c>
      <c r="F30" s="1" t="s">
        <v>695</v>
      </c>
      <c r="G30" s="1" t="s">
        <v>61</v>
      </c>
      <c r="H30" s="1" t="s">
        <v>180</v>
      </c>
      <c r="I30" s="1" t="s">
        <v>181</v>
      </c>
      <c r="J30" s="1"/>
    </row>
    <row r="31" spans="1:10" ht="45">
      <c r="A31" s="1" t="s">
        <v>182</v>
      </c>
      <c r="B31" s="1" t="s">
        <v>155</v>
      </c>
      <c r="C31" s="1" t="s">
        <v>696</v>
      </c>
      <c r="D31" s="1" t="s">
        <v>697</v>
      </c>
      <c r="E31" s="1" t="s">
        <v>183</v>
      </c>
      <c r="F31" s="1" t="s">
        <v>695</v>
      </c>
      <c r="G31" s="1" t="s">
        <v>61</v>
      </c>
      <c r="H31" s="1" t="s">
        <v>186</v>
      </c>
      <c r="I31" s="1" t="s">
        <v>187</v>
      </c>
      <c r="J31" s="1"/>
    </row>
    <row r="32" spans="1:10" ht="30">
      <c r="A32" s="1" t="s">
        <v>188</v>
      </c>
      <c r="B32" s="1" t="s">
        <v>155</v>
      </c>
      <c r="C32" s="1" t="s">
        <v>696</v>
      </c>
      <c r="D32" s="1" t="s">
        <v>697</v>
      </c>
      <c r="E32" s="1" t="s">
        <v>189</v>
      </c>
      <c r="F32" s="1" t="s">
        <v>695</v>
      </c>
      <c r="G32" s="1" t="s">
        <v>61</v>
      </c>
      <c r="H32" s="1" t="s">
        <v>193</v>
      </c>
      <c r="I32" s="1" t="s">
        <v>175</v>
      </c>
      <c r="J32" s="1"/>
    </row>
    <row r="33" spans="1:10" ht="30">
      <c r="A33" s="1" t="s">
        <v>194</v>
      </c>
      <c r="B33" s="1" t="s">
        <v>155</v>
      </c>
      <c r="C33" s="1" t="s">
        <v>696</v>
      </c>
      <c r="D33" s="1" t="s">
        <v>697</v>
      </c>
      <c r="E33" s="1" t="s">
        <v>195</v>
      </c>
      <c r="F33" s="1" t="s">
        <v>695</v>
      </c>
      <c r="G33" s="1" t="s">
        <v>61</v>
      </c>
      <c r="H33" s="1" t="s">
        <v>198</v>
      </c>
      <c r="I33" s="1" t="s">
        <v>199</v>
      </c>
      <c r="J33" s="1"/>
    </row>
    <row r="34" spans="1:10" ht="30">
      <c r="A34" s="1" t="s">
        <v>200</v>
      </c>
      <c r="B34" s="1" t="s">
        <v>67</v>
      </c>
      <c r="C34" s="1" t="s">
        <v>693</v>
      </c>
      <c r="D34" s="1" t="s">
        <v>694</v>
      </c>
      <c r="E34" s="1" t="s">
        <v>201</v>
      </c>
      <c r="F34" s="1" t="s">
        <v>695</v>
      </c>
      <c r="G34" s="1" t="s">
        <v>61</v>
      </c>
      <c r="H34" s="1" t="s">
        <v>204</v>
      </c>
      <c r="I34" s="1" t="s">
        <v>205</v>
      </c>
      <c r="J34" s="1"/>
    </row>
    <row r="35" spans="1:10" ht="30">
      <c r="A35" s="1" t="s">
        <v>206</v>
      </c>
      <c r="B35" s="1" t="s">
        <v>139</v>
      </c>
      <c r="C35" s="1" t="s">
        <v>698</v>
      </c>
      <c r="D35" s="1" t="s">
        <v>700</v>
      </c>
      <c r="E35" s="1" t="s">
        <v>201</v>
      </c>
      <c r="F35" s="1" t="s">
        <v>695</v>
      </c>
      <c r="G35" s="1" t="s">
        <v>61</v>
      </c>
      <c r="H35" s="1" t="s">
        <v>207</v>
      </c>
      <c r="I35" s="1" t="s">
        <v>205</v>
      </c>
      <c r="J35" s="1"/>
    </row>
    <row r="36" spans="1:10" ht="30">
      <c r="A36" s="1" t="s">
        <v>208</v>
      </c>
      <c r="B36" s="1" t="s">
        <v>155</v>
      </c>
      <c r="C36" s="1" t="s">
        <v>696</v>
      </c>
      <c r="D36" s="1" t="s">
        <v>697</v>
      </c>
      <c r="E36" s="1" t="s">
        <v>201</v>
      </c>
      <c r="F36" s="1" t="s">
        <v>695</v>
      </c>
      <c r="G36" s="1" t="s">
        <v>61</v>
      </c>
      <c r="H36" s="1" t="s">
        <v>209</v>
      </c>
      <c r="I36" s="1" t="s">
        <v>205</v>
      </c>
      <c r="J36" s="1"/>
    </row>
    <row r="37" spans="1:10" ht="30">
      <c r="A37" s="1" t="s">
        <v>210</v>
      </c>
      <c r="B37" s="1" t="s">
        <v>67</v>
      </c>
      <c r="C37" s="1" t="s">
        <v>693</v>
      </c>
      <c r="D37" s="1" t="s">
        <v>694</v>
      </c>
      <c r="E37" s="1" t="s">
        <v>211</v>
      </c>
      <c r="F37" s="1" t="s">
        <v>695</v>
      </c>
      <c r="G37" s="1" t="s">
        <v>61</v>
      </c>
      <c r="H37" s="1" t="s">
        <v>214</v>
      </c>
      <c r="I37" s="1" t="s">
        <v>215</v>
      </c>
      <c r="J37" s="1"/>
    </row>
    <row r="38" spans="1:10" ht="30">
      <c r="A38" s="1" t="s">
        <v>210</v>
      </c>
      <c r="B38" s="1" t="s">
        <v>139</v>
      </c>
      <c r="C38" s="1" t="s">
        <v>698</v>
      </c>
      <c r="D38" s="1" t="s">
        <v>700</v>
      </c>
      <c r="E38" s="1" t="s">
        <v>211</v>
      </c>
      <c r="F38" s="1" t="s">
        <v>695</v>
      </c>
      <c r="G38" s="1" t="s">
        <v>61</v>
      </c>
      <c r="H38" s="1" t="s">
        <v>214</v>
      </c>
      <c r="I38" s="1" t="s">
        <v>215</v>
      </c>
      <c r="J38" s="1"/>
    </row>
    <row r="39" spans="1:10" ht="30">
      <c r="A39" s="1" t="s">
        <v>217</v>
      </c>
      <c r="B39" s="1" t="s">
        <v>155</v>
      </c>
      <c r="C39" s="1" t="s">
        <v>696</v>
      </c>
      <c r="D39" s="1" t="s">
        <v>697</v>
      </c>
      <c r="E39" s="1" t="s">
        <v>218</v>
      </c>
      <c r="F39" s="1" t="s">
        <v>695</v>
      </c>
      <c r="G39" s="1" t="s">
        <v>61</v>
      </c>
      <c r="H39" s="1" t="s">
        <v>221</v>
      </c>
      <c r="I39" s="1" t="s">
        <v>222</v>
      </c>
      <c r="J39" s="1"/>
    </row>
    <row r="40" spans="1:10" ht="30">
      <c r="A40" s="1" t="s">
        <v>217</v>
      </c>
      <c r="B40" s="1" t="s">
        <v>67</v>
      </c>
      <c r="C40" s="1" t="s">
        <v>693</v>
      </c>
      <c r="D40" s="1" t="s">
        <v>694</v>
      </c>
      <c r="E40" s="1" t="s">
        <v>218</v>
      </c>
      <c r="F40" s="1" t="s">
        <v>695</v>
      </c>
      <c r="G40" s="1" t="s">
        <v>61</v>
      </c>
      <c r="H40" s="1" t="s">
        <v>221</v>
      </c>
      <c r="I40" s="1" t="s">
        <v>222</v>
      </c>
      <c r="J40" s="1"/>
    </row>
    <row r="41" spans="1:10" ht="30">
      <c r="A41" s="1" t="s">
        <v>223</v>
      </c>
      <c r="B41" s="1" t="s">
        <v>155</v>
      </c>
      <c r="C41" s="1" t="s">
        <v>696</v>
      </c>
      <c r="D41" s="1" t="s">
        <v>697</v>
      </c>
      <c r="E41" s="1" t="s">
        <v>224</v>
      </c>
      <c r="F41" s="1" t="s">
        <v>695</v>
      </c>
      <c r="G41" s="1" t="s">
        <v>61</v>
      </c>
      <c r="H41" s="1" t="s">
        <v>227</v>
      </c>
      <c r="I41" s="1" t="s">
        <v>228</v>
      </c>
      <c r="J41" s="1"/>
    </row>
    <row r="42" spans="1:10" ht="30">
      <c r="A42" s="1" t="s">
        <v>223</v>
      </c>
      <c r="B42" s="1" t="s">
        <v>91</v>
      </c>
      <c r="C42" s="1" t="s">
        <v>698</v>
      </c>
      <c r="D42" s="1" t="s">
        <v>699</v>
      </c>
      <c r="E42" s="1" t="s">
        <v>224</v>
      </c>
      <c r="F42" s="1" t="s">
        <v>695</v>
      </c>
      <c r="G42" s="1" t="s">
        <v>61</v>
      </c>
      <c r="H42" s="1" t="s">
        <v>227</v>
      </c>
      <c r="I42" s="1" t="s">
        <v>228</v>
      </c>
      <c r="J42" s="1"/>
    </row>
    <row r="43" spans="1:10" ht="30">
      <c r="A43" s="1" t="s">
        <v>223</v>
      </c>
      <c r="B43" s="1" t="s">
        <v>139</v>
      </c>
      <c r="C43" s="1" t="s">
        <v>698</v>
      </c>
      <c r="D43" s="1" t="s">
        <v>700</v>
      </c>
      <c r="E43" s="1" t="s">
        <v>224</v>
      </c>
      <c r="F43" s="1" t="s">
        <v>695</v>
      </c>
      <c r="G43" s="1" t="s">
        <v>61</v>
      </c>
      <c r="H43" s="1" t="s">
        <v>227</v>
      </c>
      <c r="I43" s="1" t="s">
        <v>228</v>
      </c>
      <c r="J43" s="1"/>
    </row>
    <row r="44" spans="1:10" ht="30">
      <c r="A44" s="1" t="s">
        <v>229</v>
      </c>
      <c r="B44" s="1" t="s">
        <v>67</v>
      </c>
      <c r="C44" s="1" t="s">
        <v>693</v>
      </c>
      <c r="D44" s="1" t="s">
        <v>694</v>
      </c>
      <c r="E44" s="1" t="s">
        <v>224</v>
      </c>
      <c r="F44" s="1" t="s">
        <v>695</v>
      </c>
      <c r="G44" s="1" t="s">
        <v>61</v>
      </c>
      <c r="H44" s="1" t="s">
        <v>230</v>
      </c>
      <c r="I44" s="1" t="s">
        <v>228</v>
      </c>
      <c r="J44" s="1"/>
    </row>
    <row r="45" spans="1:10" ht="30">
      <c r="A45" s="1" t="s">
        <v>231</v>
      </c>
      <c r="B45" s="1" t="s">
        <v>67</v>
      </c>
      <c r="C45" s="1" t="s">
        <v>693</v>
      </c>
      <c r="D45" s="1" t="s">
        <v>694</v>
      </c>
      <c r="E45" s="1" t="s">
        <v>232</v>
      </c>
      <c r="F45" s="1" t="s">
        <v>695</v>
      </c>
      <c r="G45" s="1" t="s">
        <v>61</v>
      </c>
      <c r="H45" s="1" t="s">
        <v>234</v>
      </c>
      <c r="I45" s="1" t="s">
        <v>235</v>
      </c>
      <c r="J45" s="1"/>
    </row>
    <row r="46" spans="1:10" ht="30">
      <c r="A46" s="1" t="s">
        <v>236</v>
      </c>
      <c r="B46" s="1" t="s">
        <v>155</v>
      </c>
      <c r="C46" s="1" t="s">
        <v>696</v>
      </c>
      <c r="D46" s="1" t="s">
        <v>697</v>
      </c>
      <c r="E46" s="1" t="s">
        <v>237</v>
      </c>
      <c r="F46" s="1" t="s">
        <v>695</v>
      </c>
      <c r="G46" s="1" t="s">
        <v>61</v>
      </c>
      <c r="H46" s="1" t="s">
        <v>240</v>
      </c>
      <c r="I46" s="1" t="s">
        <v>241</v>
      </c>
      <c r="J46" s="1"/>
    </row>
    <row r="47" spans="1:10" ht="30">
      <c r="A47" s="1" t="s">
        <v>236</v>
      </c>
      <c r="B47" s="1" t="s">
        <v>91</v>
      </c>
      <c r="C47" s="1" t="s">
        <v>698</v>
      </c>
      <c r="D47" s="1" t="s">
        <v>699</v>
      </c>
      <c r="E47" s="1" t="s">
        <v>237</v>
      </c>
      <c r="F47" s="1" t="s">
        <v>695</v>
      </c>
      <c r="G47" s="1" t="s">
        <v>61</v>
      </c>
      <c r="H47" s="1" t="s">
        <v>240</v>
      </c>
      <c r="I47" s="1" t="s">
        <v>241</v>
      </c>
      <c r="J47" s="1"/>
    </row>
    <row r="48" spans="1:10" ht="30">
      <c r="A48" s="1" t="s">
        <v>242</v>
      </c>
      <c r="B48" s="1" t="s">
        <v>67</v>
      </c>
      <c r="C48" s="1" t="s">
        <v>693</v>
      </c>
      <c r="D48" s="1" t="s">
        <v>694</v>
      </c>
      <c r="E48" s="1" t="s">
        <v>243</v>
      </c>
      <c r="F48" s="1" t="s">
        <v>695</v>
      </c>
      <c r="G48" s="1" t="s">
        <v>61</v>
      </c>
      <c r="H48" s="1" t="s">
        <v>246</v>
      </c>
      <c r="I48" s="1" t="s">
        <v>247</v>
      </c>
      <c r="J48" s="1"/>
    </row>
    <row r="49" spans="1:10" ht="60">
      <c r="A49" s="1" t="s">
        <v>248</v>
      </c>
      <c r="B49" s="1" t="s">
        <v>67</v>
      </c>
      <c r="C49" s="1" t="s">
        <v>693</v>
      </c>
      <c r="D49" s="1" t="s">
        <v>694</v>
      </c>
      <c r="E49" s="1" t="s">
        <v>249</v>
      </c>
      <c r="F49" s="1" t="s">
        <v>695</v>
      </c>
      <c r="G49" s="1" t="s">
        <v>146</v>
      </c>
      <c r="H49" s="1" t="s">
        <v>254</v>
      </c>
      <c r="I49" s="1" t="s">
        <v>254</v>
      </c>
      <c r="J49" s="1" t="s">
        <v>255</v>
      </c>
    </row>
    <row r="50" spans="1:10" ht="45">
      <c r="A50" s="1" t="s">
        <v>257</v>
      </c>
      <c r="B50" s="1" t="s">
        <v>91</v>
      </c>
      <c r="C50" s="1" t="s">
        <v>698</v>
      </c>
      <c r="D50" s="1" t="s">
        <v>699</v>
      </c>
      <c r="E50" s="1" t="s">
        <v>249</v>
      </c>
      <c r="F50" s="1" t="s">
        <v>695</v>
      </c>
      <c r="G50" s="1" t="s">
        <v>146</v>
      </c>
      <c r="H50" s="1" t="s">
        <v>254</v>
      </c>
      <c r="I50" s="1" t="s">
        <v>254</v>
      </c>
      <c r="J50" s="1" t="s">
        <v>258</v>
      </c>
    </row>
    <row r="51" spans="1:10" ht="45">
      <c r="A51" s="1" t="s">
        <v>259</v>
      </c>
      <c r="B51" s="1" t="s">
        <v>155</v>
      </c>
      <c r="C51" s="1" t="s">
        <v>696</v>
      </c>
      <c r="D51" s="1" t="s">
        <v>697</v>
      </c>
      <c r="E51" s="1" t="s">
        <v>249</v>
      </c>
      <c r="F51" s="1" t="s">
        <v>695</v>
      </c>
      <c r="G51" s="1" t="s">
        <v>146</v>
      </c>
      <c r="H51" s="1" t="s">
        <v>254</v>
      </c>
      <c r="I51" s="1" t="s">
        <v>254</v>
      </c>
      <c r="J51" s="1" t="s">
        <v>260</v>
      </c>
    </row>
    <row r="52" spans="1:10" ht="30">
      <c r="A52" s="1" t="s">
        <v>261</v>
      </c>
      <c r="B52" s="1" t="s">
        <v>155</v>
      </c>
      <c r="C52" s="1" t="s">
        <v>696</v>
      </c>
      <c r="D52" s="1" t="s">
        <v>697</v>
      </c>
      <c r="E52" s="1" t="s">
        <v>262</v>
      </c>
      <c r="F52" s="1" t="s">
        <v>695</v>
      </c>
      <c r="G52" s="1" t="s">
        <v>61</v>
      </c>
      <c r="H52" s="1" t="s">
        <v>265</v>
      </c>
      <c r="I52" s="1" t="s">
        <v>266</v>
      </c>
      <c r="J52" s="1"/>
    </row>
    <row r="53" spans="1:10" ht="30">
      <c r="A53" s="1" t="s">
        <v>267</v>
      </c>
      <c r="B53" s="1" t="s">
        <v>67</v>
      </c>
      <c r="C53" s="1" t="s">
        <v>693</v>
      </c>
      <c r="D53" s="1" t="s">
        <v>694</v>
      </c>
      <c r="E53" s="1" t="s">
        <v>262</v>
      </c>
      <c r="F53" s="1" t="s">
        <v>695</v>
      </c>
      <c r="G53" s="1" t="s">
        <v>61</v>
      </c>
      <c r="H53" s="1" t="s">
        <v>268</v>
      </c>
      <c r="I53" s="1" t="s">
        <v>266</v>
      </c>
      <c r="J53" s="1"/>
    </row>
    <row r="54" spans="1:10" ht="90">
      <c r="A54" s="1" t="s">
        <v>269</v>
      </c>
      <c r="B54" s="1" t="s">
        <v>139</v>
      </c>
      <c r="C54" s="1" t="s">
        <v>698</v>
      </c>
      <c r="D54" s="1" t="s">
        <v>700</v>
      </c>
      <c r="E54" s="1" t="s">
        <v>270</v>
      </c>
      <c r="F54" s="1" t="s">
        <v>695</v>
      </c>
      <c r="G54" s="1" t="s">
        <v>61</v>
      </c>
      <c r="H54" s="1" t="s">
        <v>275</v>
      </c>
      <c r="I54" s="1" t="s">
        <v>276</v>
      </c>
      <c r="J54" s="1" t="s">
        <v>277</v>
      </c>
    </row>
    <row r="55" spans="1:10" ht="30">
      <c r="A55" s="1" t="s">
        <v>280</v>
      </c>
      <c r="B55" s="1" t="s">
        <v>155</v>
      </c>
      <c r="C55" s="1" t="s">
        <v>696</v>
      </c>
      <c r="D55" s="1" t="s">
        <v>697</v>
      </c>
      <c r="E55" s="1" t="s">
        <v>281</v>
      </c>
      <c r="F55" s="1" t="s">
        <v>695</v>
      </c>
      <c r="G55" s="1" t="s">
        <v>61</v>
      </c>
      <c r="H55" s="1" t="s">
        <v>284</v>
      </c>
      <c r="I55" s="1" t="s">
        <v>285</v>
      </c>
      <c r="J55" s="1"/>
    </row>
    <row r="56" spans="1:10" ht="30">
      <c r="A56" s="1" t="s">
        <v>280</v>
      </c>
      <c r="B56" s="1" t="s">
        <v>67</v>
      </c>
      <c r="C56" s="1" t="s">
        <v>693</v>
      </c>
      <c r="D56" s="1" t="s">
        <v>694</v>
      </c>
      <c r="E56" s="1" t="s">
        <v>281</v>
      </c>
      <c r="F56" s="1" t="s">
        <v>695</v>
      </c>
      <c r="G56" s="1" t="s">
        <v>61</v>
      </c>
      <c r="H56" s="1" t="s">
        <v>284</v>
      </c>
      <c r="I56" s="1" t="s">
        <v>285</v>
      </c>
      <c r="J56" s="1"/>
    </row>
    <row r="57" spans="1:10" ht="30">
      <c r="A57" s="1" t="s">
        <v>286</v>
      </c>
      <c r="B57" s="1" t="s">
        <v>67</v>
      </c>
      <c r="C57" s="1" t="s">
        <v>693</v>
      </c>
      <c r="D57" s="1" t="s">
        <v>694</v>
      </c>
      <c r="E57" s="1" t="s">
        <v>287</v>
      </c>
      <c r="F57" s="1" t="s">
        <v>695</v>
      </c>
      <c r="G57" s="1" t="s">
        <v>61</v>
      </c>
      <c r="H57" s="1" t="s">
        <v>291</v>
      </c>
      <c r="I57" s="1" t="s">
        <v>292</v>
      </c>
      <c r="J57" s="1"/>
    </row>
    <row r="58" spans="1:10" ht="45">
      <c r="A58" s="1" t="s">
        <v>293</v>
      </c>
      <c r="B58" s="1" t="s">
        <v>67</v>
      </c>
      <c r="C58" s="1" t="s">
        <v>693</v>
      </c>
      <c r="D58" s="1" t="s">
        <v>694</v>
      </c>
      <c r="E58" s="1" t="s">
        <v>294</v>
      </c>
      <c r="F58" s="1" t="s">
        <v>695</v>
      </c>
      <c r="G58" s="1" t="s">
        <v>61</v>
      </c>
      <c r="H58" s="1" t="s">
        <v>297</v>
      </c>
      <c r="I58" s="1" t="s">
        <v>298</v>
      </c>
      <c r="J58" s="1"/>
    </row>
    <row r="59" spans="1:10" ht="45">
      <c r="A59" s="1" t="s">
        <v>299</v>
      </c>
      <c r="B59" s="1" t="s">
        <v>67</v>
      </c>
      <c r="C59" s="1" t="s">
        <v>693</v>
      </c>
      <c r="D59" s="1" t="s">
        <v>694</v>
      </c>
      <c r="E59" s="1" t="s">
        <v>300</v>
      </c>
      <c r="F59" s="1" t="s">
        <v>695</v>
      </c>
      <c r="G59" s="1" t="s">
        <v>61</v>
      </c>
      <c r="H59" s="1" t="s">
        <v>303</v>
      </c>
      <c r="I59" s="1" t="s">
        <v>304</v>
      </c>
      <c r="J59" s="1"/>
    </row>
    <row r="60" spans="1:10" ht="45">
      <c r="A60" s="1" t="s">
        <v>305</v>
      </c>
      <c r="B60" s="1" t="s">
        <v>155</v>
      </c>
      <c r="C60" s="1" t="s">
        <v>696</v>
      </c>
      <c r="D60" s="1" t="s">
        <v>697</v>
      </c>
      <c r="E60" s="1" t="s">
        <v>300</v>
      </c>
      <c r="F60" s="1" t="s">
        <v>695</v>
      </c>
      <c r="G60" s="1" t="s">
        <v>61</v>
      </c>
      <c r="H60" s="1" t="s">
        <v>306</v>
      </c>
      <c r="I60" s="1" t="s">
        <v>304</v>
      </c>
      <c r="J60" s="1"/>
    </row>
    <row r="61" spans="1:10" ht="30">
      <c r="A61" s="1" t="s">
        <v>307</v>
      </c>
      <c r="B61" s="1" t="s">
        <v>155</v>
      </c>
      <c r="C61" s="1" t="s">
        <v>696</v>
      </c>
      <c r="D61" s="1" t="s">
        <v>697</v>
      </c>
      <c r="E61" s="1" t="s">
        <v>308</v>
      </c>
      <c r="F61" s="1" t="s">
        <v>695</v>
      </c>
      <c r="G61" s="1" t="s">
        <v>61</v>
      </c>
      <c r="H61" s="1" t="s">
        <v>311</v>
      </c>
      <c r="I61" s="1" t="s">
        <v>312</v>
      </c>
      <c r="J61" s="1"/>
    </row>
    <row r="62" spans="1:10" ht="30">
      <c r="A62" s="1" t="s">
        <v>307</v>
      </c>
      <c r="B62" s="1" t="s">
        <v>91</v>
      </c>
      <c r="C62" s="1" t="s">
        <v>698</v>
      </c>
      <c r="D62" s="1" t="s">
        <v>699</v>
      </c>
      <c r="E62" s="1" t="s">
        <v>308</v>
      </c>
      <c r="F62" s="1" t="s">
        <v>695</v>
      </c>
      <c r="G62" s="1" t="s">
        <v>61</v>
      </c>
      <c r="H62" s="1" t="s">
        <v>311</v>
      </c>
      <c r="I62" s="1" t="s">
        <v>312</v>
      </c>
      <c r="J62" s="1"/>
    </row>
    <row r="63" spans="1:10" ht="30">
      <c r="A63" s="1" t="s">
        <v>313</v>
      </c>
      <c r="B63" s="1" t="s">
        <v>139</v>
      </c>
      <c r="C63" s="1" t="s">
        <v>698</v>
      </c>
      <c r="D63" s="1" t="s">
        <v>700</v>
      </c>
      <c r="E63" s="1" t="s">
        <v>314</v>
      </c>
      <c r="F63" s="1" t="s">
        <v>695</v>
      </c>
      <c r="G63" s="1" t="s">
        <v>61</v>
      </c>
      <c r="H63" s="1" t="s">
        <v>317</v>
      </c>
      <c r="I63" s="1" t="s">
        <v>318</v>
      </c>
      <c r="J63" s="1"/>
    </row>
    <row r="64" spans="1:10" ht="30">
      <c r="A64" s="1" t="s">
        <v>319</v>
      </c>
      <c r="B64" s="1" t="s">
        <v>67</v>
      </c>
      <c r="C64" s="1" t="s">
        <v>693</v>
      </c>
      <c r="D64" s="1" t="s">
        <v>694</v>
      </c>
      <c r="E64" s="1" t="s">
        <v>314</v>
      </c>
      <c r="F64" s="1" t="s">
        <v>695</v>
      </c>
      <c r="G64" s="1" t="s">
        <v>61</v>
      </c>
      <c r="H64" s="1" t="s">
        <v>320</v>
      </c>
      <c r="I64" s="1" t="s">
        <v>318</v>
      </c>
      <c r="J64" s="1"/>
    </row>
    <row r="65" spans="1:10" ht="30">
      <c r="A65" s="1" t="s">
        <v>319</v>
      </c>
      <c r="B65" s="1" t="s">
        <v>91</v>
      </c>
      <c r="C65" s="1" t="s">
        <v>698</v>
      </c>
      <c r="D65" s="1" t="s">
        <v>699</v>
      </c>
      <c r="E65" s="1" t="s">
        <v>314</v>
      </c>
      <c r="F65" s="1" t="s">
        <v>695</v>
      </c>
      <c r="G65" s="1" t="s">
        <v>61</v>
      </c>
      <c r="H65" s="1" t="s">
        <v>320</v>
      </c>
      <c r="I65" s="1" t="s">
        <v>318</v>
      </c>
      <c r="J65" s="1"/>
    </row>
    <row r="66" spans="1:10" ht="30">
      <c r="A66" s="1" t="s">
        <v>322</v>
      </c>
      <c r="B66" s="1" t="s">
        <v>67</v>
      </c>
      <c r="C66" s="1" t="s">
        <v>693</v>
      </c>
      <c r="D66" s="1" t="s">
        <v>694</v>
      </c>
      <c r="E66" s="1" t="s">
        <v>323</v>
      </c>
      <c r="F66" s="1" t="s">
        <v>695</v>
      </c>
      <c r="G66" s="1" t="s">
        <v>61</v>
      </c>
      <c r="H66" s="1" t="s">
        <v>326</v>
      </c>
      <c r="I66" s="1" t="s">
        <v>327</v>
      </c>
      <c r="J66" s="1"/>
    </row>
    <row r="67" spans="1:10" ht="30">
      <c r="A67" s="1" t="s">
        <v>328</v>
      </c>
      <c r="B67" s="1" t="s">
        <v>67</v>
      </c>
      <c r="C67" s="1" t="s">
        <v>693</v>
      </c>
      <c r="D67" s="1" t="s">
        <v>694</v>
      </c>
      <c r="E67" s="1" t="s">
        <v>329</v>
      </c>
      <c r="F67" s="1" t="s">
        <v>695</v>
      </c>
      <c r="G67" s="1" t="s">
        <v>61</v>
      </c>
      <c r="H67" s="1" t="s">
        <v>332</v>
      </c>
      <c r="I67" s="1" t="s">
        <v>333</v>
      </c>
      <c r="J67" s="1"/>
    </row>
    <row r="68" spans="1:10" ht="30">
      <c r="A68" s="1" t="s">
        <v>334</v>
      </c>
      <c r="B68" s="1" t="s">
        <v>67</v>
      </c>
      <c r="C68" s="1" t="s">
        <v>693</v>
      </c>
      <c r="D68" s="1" t="s">
        <v>694</v>
      </c>
      <c r="E68" s="1" t="s">
        <v>335</v>
      </c>
      <c r="F68" s="1" t="s">
        <v>695</v>
      </c>
      <c r="G68" s="1" t="s">
        <v>61</v>
      </c>
      <c r="H68" s="1" t="s">
        <v>338</v>
      </c>
      <c r="I68" s="1" t="s">
        <v>339</v>
      </c>
      <c r="J68" s="1"/>
    </row>
    <row r="69" spans="1:10" ht="60">
      <c r="A69" s="1" t="s">
        <v>340</v>
      </c>
      <c r="B69" s="1" t="s">
        <v>155</v>
      </c>
      <c r="C69" s="1" t="s">
        <v>696</v>
      </c>
      <c r="D69" s="1" t="s">
        <v>697</v>
      </c>
      <c r="E69" s="1" t="s">
        <v>341</v>
      </c>
      <c r="F69" s="1" t="s">
        <v>695</v>
      </c>
      <c r="G69" s="1" t="s">
        <v>61</v>
      </c>
      <c r="H69" s="1" t="s">
        <v>346</v>
      </c>
      <c r="I69" s="1" t="s">
        <v>347</v>
      </c>
      <c r="J69" s="1" t="s">
        <v>348</v>
      </c>
    </row>
    <row r="70" spans="1:10" ht="75">
      <c r="A70" s="1" t="s">
        <v>340</v>
      </c>
      <c r="B70" s="1" t="s">
        <v>67</v>
      </c>
      <c r="C70" s="1" t="s">
        <v>693</v>
      </c>
      <c r="D70" s="1" t="s">
        <v>694</v>
      </c>
      <c r="E70" s="1" t="s">
        <v>341</v>
      </c>
      <c r="F70" s="1" t="s">
        <v>695</v>
      </c>
      <c r="G70" s="1" t="s">
        <v>61</v>
      </c>
      <c r="H70" s="1" t="s">
        <v>346</v>
      </c>
      <c r="I70" s="1" t="s">
        <v>347</v>
      </c>
      <c r="J70" s="1" t="s">
        <v>704</v>
      </c>
    </row>
    <row r="71" spans="1:10" ht="30">
      <c r="A71" s="1" t="s">
        <v>350</v>
      </c>
      <c r="B71" s="1" t="s">
        <v>67</v>
      </c>
      <c r="C71" s="1" t="s">
        <v>693</v>
      </c>
      <c r="D71" s="1" t="s">
        <v>694</v>
      </c>
      <c r="E71" s="1" t="s">
        <v>351</v>
      </c>
      <c r="F71" s="1" t="s">
        <v>695</v>
      </c>
      <c r="G71" s="1" t="s">
        <v>61</v>
      </c>
      <c r="H71" s="1" t="s">
        <v>354</v>
      </c>
      <c r="I71" s="1" t="s">
        <v>355</v>
      </c>
      <c r="J71" s="1"/>
    </row>
    <row r="72" spans="1:10" ht="30">
      <c r="A72" s="1" t="s">
        <v>356</v>
      </c>
      <c r="B72" s="1" t="s">
        <v>155</v>
      </c>
      <c r="C72" s="1" t="s">
        <v>696</v>
      </c>
      <c r="D72" s="1" t="s">
        <v>697</v>
      </c>
      <c r="E72" s="1" t="s">
        <v>357</v>
      </c>
      <c r="F72" s="1" t="s">
        <v>695</v>
      </c>
      <c r="G72" s="1" t="s">
        <v>61</v>
      </c>
      <c r="H72" s="1" t="s">
        <v>360</v>
      </c>
      <c r="I72" s="1" t="s">
        <v>361</v>
      </c>
      <c r="J72" s="1"/>
    </row>
    <row r="73" spans="1:10" ht="30">
      <c r="A73" s="1" t="s">
        <v>356</v>
      </c>
      <c r="B73" s="1" t="s">
        <v>67</v>
      </c>
      <c r="C73" s="1" t="s">
        <v>693</v>
      </c>
      <c r="D73" s="1" t="s">
        <v>694</v>
      </c>
      <c r="E73" s="1" t="s">
        <v>357</v>
      </c>
      <c r="F73" s="1" t="s">
        <v>695</v>
      </c>
      <c r="G73" s="1" t="s">
        <v>61</v>
      </c>
      <c r="H73" s="1" t="s">
        <v>360</v>
      </c>
      <c r="I73" s="1" t="s">
        <v>361</v>
      </c>
      <c r="J73" s="1"/>
    </row>
    <row r="74" spans="1:10" ht="30">
      <c r="A74" s="1" t="s">
        <v>356</v>
      </c>
      <c r="B74" s="1" t="s">
        <v>91</v>
      </c>
      <c r="C74" s="1" t="s">
        <v>698</v>
      </c>
      <c r="D74" s="1" t="s">
        <v>699</v>
      </c>
      <c r="E74" s="1" t="s">
        <v>357</v>
      </c>
      <c r="F74" s="1" t="s">
        <v>695</v>
      </c>
      <c r="G74" s="1" t="s">
        <v>61</v>
      </c>
      <c r="H74" s="1" t="s">
        <v>360</v>
      </c>
      <c r="I74" s="1" t="s">
        <v>361</v>
      </c>
      <c r="J74" s="1"/>
    </row>
    <row r="75" spans="1:10" ht="30">
      <c r="A75" s="1" t="s">
        <v>362</v>
      </c>
      <c r="B75" s="1" t="s">
        <v>91</v>
      </c>
      <c r="C75" s="1" t="s">
        <v>698</v>
      </c>
      <c r="D75" s="1" t="s">
        <v>699</v>
      </c>
      <c r="E75" s="1" t="s">
        <v>363</v>
      </c>
      <c r="F75" s="1" t="s">
        <v>695</v>
      </c>
      <c r="G75" s="1" t="s">
        <v>61</v>
      </c>
      <c r="H75" s="1" t="s">
        <v>366</v>
      </c>
      <c r="I75" s="1" t="s">
        <v>367</v>
      </c>
      <c r="J75" s="1"/>
    </row>
    <row r="76" spans="1:10" ht="30">
      <c r="A76" s="1" t="s">
        <v>368</v>
      </c>
      <c r="B76" s="1" t="s">
        <v>155</v>
      </c>
      <c r="C76" s="1" t="s">
        <v>696</v>
      </c>
      <c r="D76" s="1" t="s">
        <v>697</v>
      </c>
      <c r="E76" s="1" t="s">
        <v>363</v>
      </c>
      <c r="F76" s="1" t="s">
        <v>695</v>
      </c>
      <c r="G76" s="1" t="s">
        <v>61</v>
      </c>
      <c r="H76" s="1" t="s">
        <v>369</v>
      </c>
      <c r="I76" s="1" t="s">
        <v>367</v>
      </c>
      <c r="J76" s="1"/>
    </row>
    <row r="77" spans="1:10" ht="30">
      <c r="A77" s="1" t="s">
        <v>370</v>
      </c>
      <c r="B77" s="1" t="s">
        <v>67</v>
      </c>
      <c r="C77" s="1" t="s">
        <v>693</v>
      </c>
      <c r="D77" s="1" t="s">
        <v>694</v>
      </c>
      <c r="E77" s="1" t="s">
        <v>363</v>
      </c>
      <c r="F77" s="1" t="s">
        <v>695</v>
      </c>
      <c r="G77" s="1" t="s">
        <v>61</v>
      </c>
      <c r="H77" s="1" t="s">
        <v>371</v>
      </c>
      <c r="I77" s="1" t="s">
        <v>367</v>
      </c>
      <c r="J77" s="1"/>
    </row>
    <row r="78" spans="1:10" ht="30">
      <c r="A78" s="1" t="s">
        <v>372</v>
      </c>
      <c r="B78" s="1" t="s">
        <v>67</v>
      </c>
      <c r="C78" s="1" t="s">
        <v>693</v>
      </c>
      <c r="D78" s="1" t="s">
        <v>694</v>
      </c>
      <c r="E78" s="1" t="s">
        <v>373</v>
      </c>
      <c r="F78" s="1" t="s">
        <v>695</v>
      </c>
      <c r="G78" s="1" t="s">
        <v>61</v>
      </c>
      <c r="H78" s="1" t="s">
        <v>376</v>
      </c>
      <c r="I78" s="1" t="s">
        <v>377</v>
      </c>
      <c r="J78" s="1"/>
    </row>
    <row r="79" spans="1:10" ht="75">
      <c r="A79" s="1" t="s">
        <v>378</v>
      </c>
      <c r="B79" s="1" t="s">
        <v>67</v>
      </c>
      <c r="C79" s="1" t="s">
        <v>693</v>
      </c>
      <c r="D79" s="1" t="s">
        <v>694</v>
      </c>
      <c r="E79" s="1" t="s">
        <v>379</v>
      </c>
      <c r="F79" s="1" t="s">
        <v>695</v>
      </c>
      <c r="G79" s="1" t="s">
        <v>146</v>
      </c>
      <c r="H79" s="1" t="s">
        <v>384</v>
      </c>
      <c r="I79" s="1" t="s">
        <v>384</v>
      </c>
      <c r="J79" s="1" t="s">
        <v>385</v>
      </c>
    </row>
    <row r="80" spans="1:10" ht="105">
      <c r="A80" s="1" t="s">
        <v>387</v>
      </c>
      <c r="B80" s="1" t="s">
        <v>139</v>
      </c>
      <c r="C80" s="1" t="s">
        <v>698</v>
      </c>
      <c r="D80" s="1" t="s">
        <v>700</v>
      </c>
      <c r="E80" s="1" t="s">
        <v>379</v>
      </c>
      <c r="F80" s="1" t="s">
        <v>695</v>
      </c>
      <c r="G80" s="1" t="s">
        <v>61</v>
      </c>
      <c r="H80" s="1" t="s">
        <v>388</v>
      </c>
      <c r="I80" s="1" t="s">
        <v>384</v>
      </c>
      <c r="J80" s="1" t="s">
        <v>389</v>
      </c>
    </row>
    <row r="81" spans="1:10" ht="45">
      <c r="A81" s="1" t="s">
        <v>390</v>
      </c>
      <c r="B81" s="1" t="s">
        <v>155</v>
      </c>
      <c r="C81" s="1" t="s">
        <v>696</v>
      </c>
      <c r="D81" s="1" t="s">
        <v>697</v>
      </c>
      <c r="E81" s="1" t="s">
        <v>379</v>
      </c>
      <c r="F81" s="1" t="s">
        <v>695</v>
      </c>
      <c r="G81" s="1" t="s">
        <v>61</v>
      </c>
      <c r="H81" s="1" t="s">
        <v>391</v>
      </c>
      <c r="I81" s="1" t="s">
        <v>384</v>
      </c>
      <c r="J81" s="1" t="s">
        <v>392</v>
      </c>
    </row>
    <row r="82" spans="1:10" ht="60">
      <c r="A82" s="1" t="s">
        <v>393</v>
      </c>
      <c r="B82" s="1" t="s">
        <v>91</v>
      </c>
      <c r="C82" s="1" t="s">
        <v>698</v>
      </c>
      <c r="D82" s="1" t="s">
        <v>699</v>
      </c>
      <c r="E82" s="1" t="s">
        <v>394</v>
      </c>
      <c r="F82" s="1" t="s">
        <v>695</v>
      </c>
      <c r="G82" s="1" t="s">
        <v>146</v>
      </c>
      <c r="H82" s="1" t="s">
        <v>400</v>
      </c>
      <c r="I82" s="1" t="s">
        <v>400</v>
      </c>
      <c r="J82" s="1" t="s">
        <v>401</v>
      </c>
    </row>
    <row r="83" spans="1:10" ht="90">
      <c r="A83" s="1" t="s">
        <v>403</v>
      </c>
      <c r="B83" s="1" t="s">
        <v>139</v>
      </c>
      <c r="C83" s="1" t="s">
        <v>698</v>
      </c>
      <c r="D83" s="1" t="s">
        <v>700</v>
      </c>
      <c r="E83" s="1" t="s">
        <v>394</v>
      </c>
      <c r="F83" s="1" t="s">
        <v>695</v>
      </c>
      <c r="G83" s="1" t="s">
        <v>146</v>
      </c>
      <c r="H83" s="1" t="s">
        <v>400</v>
      </c>
      <c r="I83" s="1" t="s">
        <v>400</v>
      </c>
      <c r="J83" s="1" t="s">
        <v>404</v>
      </c>
    </row>
    <row r="84" spans="1:10" ht="75">
      <c r="A84" s="1" t="s">
        <v>405</v>
      </c>
      <c r="B84" s="1" t="s">
        <v>155</v>
      </c>
      <c r="C84" s="1" t="s">
        <v>696</v>
      </c>
      <c r="D84" s="1" t="s">
        <v>697</v>
      </c>
      <c r="E84" s="1" t="s">
        <v>394</v>
      </c>
      <c r="F84" s="1" t="s">
        <v>695</v>
      </c>
      <c r="G84" s="1" t="s">
        <v>61</v>
      </c>
      <c r="H84" s="1" t="s">
        <v>406</v>
      </c>
      <c r="I84" s="1" t="s">
        <v>400</v>
      </c>
      <c r="J84" s="1" t="s">
        <v>407</v>
      </c>
    </row>
    <row r="85" spans="1:10" ht="30">
      <c r="A85" s="1" t="s">
        <v>408</v>
      </c>
      <c r="B85" s="1" t="s">
        <v>139</v>
      </c>
      <c r="C85" s="1" t="s">
        <v>698</v>
      </c>
      <c r="D85" s="1" t="s">
        <v>700</v>
      </c>
      <c r="E85" s="1" t="s">
        <v>409</v>
      </c>
      <c r="F85" s="1" t="s">
        <v>695</v>
      </c>
      <c r="G85" s="1" t="s">
        <v>61</v>
      </c>
      <c r="H85" s="1" t="s">
        <v>414</v>
      </c>
      <c r="I85" s="1" t="s">
        <v>415</v>
      </c>
      <c r="J85" s="1" t="s">
        <v>416</v>
      </c>
    </row>
    <row r="86" spans="1:10" ht="30">
      <c r="A86" s="1" t="s">
        <v>418</v>
      </c>
      <c r="B86" s="1" t="s">
        <v>155</v>
      </c>
      <c r="C86" s="1" t="s">
        <v>696</v>
      </c>
      <c r="D86" s="1" t="s">
        <v>697</v>
      </c>
      <c r="E86" s="1" t="s">
        <v>409</v>
      </c>
      <c r="F86" s="1" t="s">
        <v>695</v>
      </c>
      <c r="G86" s="1" t="s">
        <v>61</v>
      </c>
      <c r="H86" s="1" t="s">
        <v>419</v>
      </c>
      <c r="I86" s="1" t="s">
        <v>415</v>
      </c>
      <c r="J86" s="1" t="s">
        <v>420</v>
      </c>
    </row>
    <row r="87" spans="1:10" ht="30">
      <c r="A87" s="1" t="s">
        <v>418</v>
      </c>
      <c r="B87" s="1" t="s">
        <v>67</v>
      </c>
      <c r="C87" s="1" t="s">
        <v>693</v>
      </c>
      <c r="D87" s="1" t="s">
        <v>694</v>
      </c>
      <c r="E87" s="1" t="s">
        <v>409</v>
      </c>
      <c r="F87" s="1" t="s">
        <v>695</v>
      </c>
      <c r="G87" s="1" t="s">
        <v>61</v>
      </c>
      <c r="H87" s="1" t="s">
        <v>419</v>
      </c>
      <c r="I87" s="1" t="s">
        <v>415</v>
      </c>
      <c r="J87" s="1" t="s">
        <v>705</v>
      </c>
    </row>
    <row r="88" spans="1:10" ht="30">
      <c r="A88" s="1" t="s">
        <v>418</v>
      </c>
      <c r="B88" s="1" t="s">
        <v>91</v>
      </c>
      <c r="C88" s="1" t="s">
        <v>698</v>
      </c>
      <c r="D88" s="1" t="s">
        <v>699</v>
      </c>
      <c r="E88" s="1" t="s">
        <v>409</v>
      </c>
      <c r="F88" s="1" t="s">
        <v>695</v>
      </c>
      <c r="G88" s="1" t="s">
        <v>61</v>
      </c>
      <c r="H88" s="1" t="s">
        <v>419</v>
      </c>
      <c r="I88" s="1" t="s">
        <v>415</v>
      </c>
      <c r="J88" s="1" t="s">
        <v>706</v>
      </c>
    </row>
    <row r="89" spans="1:10" ht="60">
      <c r="A89" s="1" t="s">
        <v>421</v>
      </c>
      <c r="B89" s="1" t="s">
        <v>139</v>
      </c>
      <c r="C89" s="1" t="s">
        <v>698</v>
      </c>
      <c r="D89" s="1" t="s">
        <v>700</v>
      </c>
      <c r="E89" s="1" t="s">
        <v>422</v>
      </c>
      <c r="F89" s="1" t="s">
        <v>695</v>
      </c>
      <c r="G89" s="1" t="s">
        <v>61</v>
      </c>
      <c r="H89" s="1" t="s">
        <v>427</v>
      </c>
      <c r="I89" s="1" t="s">
        <v>428</v>
      </c>
      <c r="J89" s="1" t="s">
        <v>429</v>
      </c>
    </row>
    <row r="90" spans="1:10" ht="60">
      <c r="A90" s="1" t="s">
        <v>431</v>
      </c>
      <c r="B90" s="1" t="s">
        <v>91</v>
      </c>
      <c r="C90" s="1" t="s">
        <v>698</v>
      </c>
      <c r="D90" s="1" t="s">
        <v>699</v>
      </c>
      <c r="E90" s="1" t="s">
        <v>432</v>
      </c>
      <c r="F90" s="1" t="s">
        <v>695</v>
      </c>
      <c r="G90" s="1" t="s">
        <v>61</v>
      </c>
      <c r="H90" s="1" t="s">
        <v>437</v>
      </c>
      <c r="I90" s="1" t="s">
        <v>438</v>
      </c>
      <c r="J90" s="1" t="s">
        <v>439</v>
      </c>
    </row>
    <row r="91" spans="1:10" ht="60">
      <c r="A91" s="1" t="s">
        <v>441</v>
      </c>
      <c r="B91" s="1" t="s">
        <v>155</v>
      </c>
      <c r="C91" s="1" t="s">
        <v>696</v>
      </c>
      <c r="D91" s="1" t="s">
        <v>697</v>
      </c>
      <c r="E91" s="1" t="s">
        <v>442</v>
      </c>
      <c r="F91" s="1" t="s">
        <v>695</v>
      </c>
      <c r="G91" s="1" t="s">
        <v>61</v>
      </c>
      <c r="H91" s="1" t="s">
        <v>447</v>
      </c>
      <c r="I91" s="1" t="s">
        <v>448</v>
      </c>
      <c r="J91" s="1" t="s">
        <v>449</v>
      </c>
    </row>
    <row r="92" spans="1:10" ht="75">
      <c r="A92" s="1" t="s">
        <v>441</v>
      </c>
      <c r="B92" s="1" t="s">
        <v>139</v>
      </c>
      <c r="C92" s="1" t="s">
        <v>698</v>
      </c>
      <c r="D92" s="1" t="s">
        <v>700</v>
      </c>
      <c r="E92" s="1" t="s">
        <v>442</v>
      </c>
      <c r="F92" s="1" t="s">
        <v>695</v>
      </c>
      <c r="G92" s="1" t="s">
        <v>61</v>
      </c>
      <c r="H92" s="1" t="s">
        <v>447</v>
      </c>
      <c r="I92" s="1" t="s">
        <v>448</v>
      </c>
      <c r="J92" s="1" t="s">
        <v>707</v>
      </c>
    </row>
    <row r="93" spans="1:10" ht="30">
      <c r="A93" s="1" t="s">
        <v>452</v>
      </c>
      <c r="B93" s="1" t="s">
        <v>91</v>
      </c>
      <c r="C93" s="1" t="s">
        <v>698</v>
      </c>
      <c r="D93" s="1" t="s">
        <v>699</v>
      </c>
      <c r="E93" s="1" t="s">
        <v>453</v>
      </c>
      <c r="F93" s="1" t="s">
        <v>695</v>
      </c>
      <c r="G93" s="1" t="s">
        <v>61</v>
      </c>
      <c r="H93" s="1" t="s">
        <v>458</v>
      </c>
      <c r="I93" s="1" t="s">
        <v>459</v>
      </c>
      <c r="J93" s="1" t="s">
        <v>460</v>
      </c>
    </row>
    <row r="94" spans="1:10" ht="30">
      <c r="A94" s="1" t="s">
        <v>462</v>
      </c>
      <c r="B94" s="1" t="s">
        <v>155</v>
      </c>
      <c r="C94" s="1" t="s">
        <v>696</v>
      </c>
      <c r="D94" s="1" t="s">
        <v>697</v>
      </c>
      <c r="E94" s="1" t="s">
        <v>453</v>
      </c>
      <c r="F94" s="1" t="s">
        <v>695</v>
      </c>
      <c r="G94" s="1" t="s">
        <v>61</v>
      </c>
      <c r="H94" s="1" t="s">
        <v>463</v>
      </c>
      <c r="I94" s="1" t="s">
        <v>459</v>
      </c>
      <c r="J94" s="1" t="s">
        <v>464</v>
      </c>
    </row>
    <row r="95" spans="1:10" ht="45">
      <c r="A95" s="1" t="s">
        <v>462</v>
      </c>
      <c r="B95" s="1" t="s">
        <v>67</v>
      </c>
      <c r="C95" s="1" t="s">
        <v>693</v>
      </c>
      <c r="D95" s="1" t="s">
        <v>694</v>
      </c>
      <c r="E95" s="1" t="s">
        <v>453</v>
      </c>
      <c r="F95" s="1" t="s">
        <v>695</v>
      </c>
      <c r="G95" s="1" t="s">
        <v>61</v>
      </c>
      <c r="H95" s="1" t="s">
        <v>463</v>
      </c>
      <c r="I95" s="1" t="s">
        <v>459</v>
      </c>
      <c r="J95" s="1" t="s">
        <v>708</v>
      </c>
    </row>
    <row r="96" spans="1:10" ht="75">
      <c r="A96" s="1" t="s">
        <v>465</v>
      </c>
      <c r="B96" s="1" t="s">
        <v>155</v>
      </c>
      <c r="C96" s="1" t="s">
        <v>696</v>
      </c>
      <c r="D96" s="1" t="s">
        <v>697</v>
      </c>
      <c r="E96" s="1" t="s">
        <v>466</v>
      </c>
      <c r="F96" s="1" t="s">
        <v>695</v>
      </c>
      <c r="G96" s="1" t="s">
        <v>61</v>
      </c>
      <c r="H96" s="1" t="s">
        <v>471</v>
      </c>
      <c r="I96" s="1" t="s">
        <v>472</v>
      </c>
      <c r="J96" s="1" t="s">
        <v>473</v>
      </c>
    </row>
    <row r="97" spans="1:10" ht="60">
      <c r="A97" s="1" t="s">
        <v>475</v>
      </c>
      <c r="B97" s="1" t="s">
        <v>67</v>
      </c>
      <c r="C97" s="1" t="s">
        <v>693</v>
      </c>
      <c r="D97" s="1" t="s">
        <v>694</v>
      </c>
      <c r="E97" s="1" t="s">
        <v>466</v>
      </c>
      <c r="F97" s="1" t="s">
        <v>695</v>
      </c>
      <c r="G97" s="1" t="s">
        <v>61</v>
      </c>
      <c r="H97" s="1" t="s">
        <v>476</v>
      </c>
      <c r="I97" s="1" t="s">
        <v>472</v>
      </c>
      <c r="J97" s="1" t="s">
        <v>477</v>
      </c>
    </row>
    <row r="98" spans="1:10" ht="60">
      <c r="A98" s="1" t="s">
        <v>478</v>
      </c>
      <c r="B98" s="1" t="s">
        <v>139</v>
      </c>
      <c r="C98" s="1" t="s">
        <v>698</v>
      </c>
      <c r="D98" s="1" t="s">
        <v>700</v>
      </c>
      <c r="E98" s="1" t="s">
        <v>466</v>
      </c>
      <c r="F98" s="1" t="s">
        <v>695</v>
      </c>
      <c r="G98" s="1" t="s">
        <v>61</v>
      </c>
      <c r="H98" s="1" t="s">
        <v>479</v>
      </c>
      <c r="I98" s="1" t="s">
        <v>472</v>
      </c>
      <c r="J98" s="1" t="s">
        <v>480</v>
      </c>
    </row>
    <row r="99" spans="1:10" ht="30">
      <c r="A99" s="1" t="s">
        <v>481</v>
      </c>
      <c r="B99" s="1" t="s">
        <v>155</v>
      </c>
      <c r="C99" s="1" t="s">
        <v>696</v>
      </c>
      <c r="D99" s="1" t="s">
        <v>697</v>
      </c>
      <c r="E99" s="1" t="s">
        <v>482</v>
      </c>
      <c r="F99" s="1" t="s">
        <v>695</v>
      </c>
      <c r="G99" s="1" t="s">
        <v>61</v>
      </c>
      <c r="H99" s="1" t="s">
        <v>487</v>
      </c>
      <c r="I99" s="1" t="s">
        <v>488</v>
      </c>
      <c r="J99" s="1" t="s">
        <v>489</v>
      </c>
    </row>
    <row r="100" spans="1:10" ht="60">
      <c r="A100" s="1" t="s">
        <v>491</v>
      </c>
      <c r="B100" s="1" t="s">
        <v>139</v>
      </c>
      <c r="C100" s="1" t="s">
        <v>698</v>
      </c>
      <c r="D100" s="1" t="s">
        <v>700</v>
      </c>
      <c r="E100" s="1" t="s">
        <v>492</v>
      </c>
      <c r="F100" s="1" t="s">
        <v>695</v>
      </c>
      <c r="G100" s="1" t="s">
        <v>61</v>
      </c>
      <c r="H100" s="1" t="s">
        <v>497</v>
      </c>
      <c r="I100" s="1" t="s">
        <v>498</v>
      </c>
      <c r="J100" s="1" t="s">
        <v>499</v>
      </c>
    </row>
    <row r="101" spans="1:10" ht="60">
      <c r="A101" s="1" t="s">
        <v>501</v>
      </c>
      <c r="B101" s="1" t="s">
        <v>139</v>
      </c>
      <c r="C101" s="1" t="s">
        <v>698</v>
      </c>
      <c r="D101" s="1" t="s">
        <v>700</v>
      </c>
      <c r="E101" s="1" t="s">
        <v>502</v>
      </c>
      <c r="F101" s="1" t="s">
        <v>695</v>
      </c>
      <c r="G101" s="1" t="s">
        <v>146</v>
      </c>
      <c r="H101" s="1" t="s">
        <v>507</v>
      </c>
      <c r="I101" s="1" t="s">
        <v>508</v>
      </c>
      <c r="J101" s="1" t="s">
        <v>509</v>
      </c>
    </row>
    <row r="102" spans="1:10" ht="75">
      <c r="A102" s="1" t="s">
        <v>511</v>
      </c>
      <c r="B102" s="1" t="s">
        <v>139</v>
      </c>
      <c r="C102" s="1" t="s">
        <v>698</v>
      </c>
      <c r="D102" s="1" t="s">
        <v>700</v>
      </c>
      <c r="E102" s="1" t="s">
        <v>512</v>
      </c>
      <c r="F102" s="1" t="s">
        <v>695</v>
      </c>
      <c r="G102" s="1" t="s">
        <v>61</v>
      </c>
      <c r="H102" s="1" t="s">
        <v>517</v>
      </c>
      <c r="I102" s="1" t="s">
        <v>518</v>
      </c>
      <c r="J102" s="1" t="s">
        <v>519</v>
      </c>
    </row>
    <row r="103" spans="1:10" ht="45">
      <c r="A103" s="1" t="s">
        <v>521</v>
      </c>
      <c r="B103" s="1" t="s">
        <v>139</v>
      </c>
      <c r="C103" s="1" t="s">
        <v>698</v>
      </c>
      <c r="D103" s="1" t="s">
        <v>700</v>
      </c>
      <c r="E103" s="1" t="s">
        <v>522</v>
      </c>
      <c r="F103" s="1" t="s">
        <v>695</v>
      </c>
      <c r="G103" s="1" t="s">
        <v>146</v>
      </c>
      <c r="H103" s="1" t="s">
        <v>527</v>
      </c>
      <c r="I103" s="1" t="s">
        <v>527</v>
      </c>
      <c r="J103" s="1" t="s">
        <v>528</v>
      </c>
    </row>
    <row r="104" spans="1:10" ht="60">
      <c r="A104" s="1" t="s">
        <v>530</v>
      </c>
      <c r="B104" s="1" t="s">
        <v>155</v>
      </c>
      <c r="C104" s="1" t="s">
        <v>696</v>
      </c>
      <c r="D104" s="1" t="s">
        <v>697</v>
      </c>
      <c r="E104" s="1" t="s">
        <v>531</v>
      </c>
      <c r="F104" s="1" t="s">
        <v>695</v>
      </c>
      <c r="G104" s="1" t="s">
        <v>61</v>
      </c>
      <c r="H104" s="1" t="s">
        <v>536</v>
      </c>
      <c r="I104" s="1" t="s">
        <v>537</v>
      </c>
      <c r="J104" s="1" t="s">
        <v>538</v>
      </c>
    </row>
    <row r="105" spans="1:10" ht="75">
      <c r="A105" s="1" t="s">
        <v>530</v>
      </c>
      <c r="B105" s="1" t="s">
        <v>67</v>
      </c>
      <c r="C105" s="1" t="s">
        <v>693</v>
      </c>
      <c r="D105" s="1" t="s">
        <v>694</v>
      </c>
      <c r="E105" s="1" t="s">
        <v>531</v>
      </c>
      <c r="F105" s="1" t="s">
        <v>695</v>
      </c>
      <c r="G105" s="1" t="s">
        <v>61</v>
      </c>
      <c r="H105" s="1" t="s">
        <v>536</v>
      </c>
      <c r="I105" s="1" t="s">
        <v>537</v>
      </c>
      <c r="J105" s="1" t="s">
        <v>709</v>
      </c>
    </row>
    <row r="106" spans="1:10" ht="60">
      <c r="A106" s="1" t="s">
        <v>540</v>
      </c>
      <c r="B106" s="1" t="s">
        <v>91</v>
      </c>
      <c r="C106" s="1" t="s">
        <v>698</v>
      </c>
      <c r="D106" s="1" t="s">
        <v>699</v>
      </c>
      <c r="E106" s="1" t="s">
        <v>531</v>
      </c>
      <c r="F106" s="1" t="s">
        <v>695</v>
      </c>
      <c r="G106" s="1" t="s">
        <v>61</v>
      </c>
      <c r="H106" s="1" t="s">
        <v>541</v>
      </c>
      <c r="I106" s="1" t="s">
        <v>537</v>
      </c>
      <c r="J106" s="1" t="s">
        <v>542</v>
      </c>
    </row>
    <row r="107" spans="1:10" ht="60">
      <c r="A107" s="1" t="s">
        <v>540</v>
      </c>
      <c r="B107" s="1" t="s">
        <v>139</v>
      </c>
      <c r="C107" s="1" t="s">
        <v>698</v>
      </c>
      <c r="D107" s="1" t="s">
        <v>700</v>
      </c>
      <c r="E107" s="1" t="s">
        <v>531</v>
      </c>
      <c r="F107" s="1" t="s">
        <v>695</v>
      </c>
      <c r="G107" s="1" t="s">
        <v>61</v>
      </c>
      <c r="H107" s="1" t="s">
        <v>541</v>
      </c>
      <c r="I107" s="1" t="s">
        <v>537</v>
      </c>
      <c r="J107" s="1" t="s">
        <v>710</v>
      </c>
    </row>
    <row r="108" spans="1:10" ht="30">
      <c r="A108" s="1" t="s">
        <v>544</v>
      </c>
      <c r="B108" s="1" t="s">
        <v>155</v>
      </c>
      <c r="C108" s="1" t="s">
        <v>696</v>
      </c>
      <c r="D108" s="1" t="s">
        <v>697</v>
      </c>
      <c r="E108" s="1" t="s">
        <v>545</v>
      </c>
      <c r="F108" s="1" t="s">
        <v>695</v>
      </c>
      <c r="G108" s="1" t="s">
        <v>61</v>
      </c>
      <c r="H108" s="1" t="s">
        <v>550</v>
      </c>
      <c r="I108" s="1" t="s">
        <v>551</v>
      </c>
      <c r="J108" s="1"/>
    </row>
    <row r="109" spans="1:10" ht="30">
      <c r="A109" s="1" t="s">
        <v>544</v>
      </c>
      <c r="B109" s="1" t="s">
        <v>67</v>
      </c>
      <c r="C109" s="1" t="s">
        <v>693</v>
      </c>
      <c r="D109" s="1" t="s">
        <v>694</v>
      </c>
      <c r="E109" s="1" t="s">
        <v>545</v>
      </c>
      <c r="F109" s="1" t="s">
        <v>695</v>
      </c>
      <c r="G109" s="1" t="s">
        <v>61</v>
      </c>
      <c r="H109" s="1" t="s">
        <v>550</v>
      </c>
      <c r="I109" s="1" t="s">
        <v>551</v>
      </c>
      <c r="J109" s="1"/>
    </row>
    <row r="110" spans="1:10" ht="30">
      <c r="A110" s="1" t="s">
        <v>544</v>
      </c>
      <c r="B110" s="1" t="s">
        <v>91</v>
      </c>
      <c r="C110" s="1" t="s">
        <v>698</v>
      </c>
      <c r="D110" s="1" t="s">
        <v>699</v>
      </c>
      <c r="E110" s="1" t="s">
        <v>545</v>
      </c>
      <c r="F110" s="1" t="s">
        <v>695</v>
      </c>
      <c r="G110" s="1" t="s">
        <v>61</v>
      </c>
      <c r="H110" s="1" t="s">
        <v>550</v>
      </c>
      <c r="I110" s="1" t="s">
        <v>551</v>
      </c>
      <c r="J110" s="1"/>
    </row>
    <row r="111" spans="1:10" ht="30">
      <c r="A111" s="1" t="s">
        <v>544</v>
      </c>
      <c r="B111" s="1" t="s">
        <v>139</v>
      </c>
      <c r="C111" s="1" t="s">
        <v>698</v>
      </c>
      <c r="D111" s="1" t="s">
        <v>700</v>
      </c>
      <c r="E111" s="1" t="s">
        <v>545</v>
      </c>
      <c r="F111" s="1" t="s">
        <v>695</v>
      </c>
      <c r="G111" s="1" t="s">
        <v>61</v>
      </c>
      <c r="H111" s="1" t="s">
        <v>550</v>
      </c>
      <c r="I111" s="1" t="s">
        <v>551</v>
      </c>
      <c r="J111" s="1"/>
    </row>
    <row r="112" spans="1:10" ht="30">
      <c r="A112" s="1" t="s">
        <v>554</v>
      </c>
      <c r="B112" s="1" t="s">
        <v>139</v>
      </c>
      <c r="C112" s="1" t="s">
        <v>698</v>
      </c>
      <c r="D112" s="1" t="s">
        <v>700</v>
      </c>
      <c r="E112" s="1" t="s">
        <v>555</v>
      </c>
      <c r="F112" s="1" t="s">
        <v>695</v>
      </c>
      <c r="G112" s="1" t="s">
        <v>61</v>
      </c>
      <c r="H112" s="1" t="s">
        <v>558</v>
      </c>
      <c r="I112" s="1" t="s">
        <v>559</v>
      </c>
      <c r="J112" s="1"/>
    </row>
    <row r="113" spans="1:10" ht="30">
      <c r="A113" s="1" t="s">
        <v>561</v>
      </c>
      <c r="B113" s="1" t="s">
        <v>67</v>
      </c>
      <c r="C113" s="1" t="s">
        <v>693</v>
      </c>
      <c r="D113" s="1" t="s">
        <v>694</v>
      </c>
      <c r="E113" s="1" t="s">
        <v>555</v>
      </c>
      <c r="F113" s="1" t="s">
        <v>695</v>
      </c>
      <c r="G113" s="1" t="s">
        <v>61</v>
      </c>
      <c r="H113" s="1" t="s">
        <v>562</v>
      </c>
      <c r="I113" s="1" t="s">
        <v>559</v>
      </c>
      <c r="J113" s="1"/>
    </row>
    <row r="114" spans="1:10" ht="30">
      <c r="A114" s="1" t="s">
        <v>563</v>
      </c>
      <c r="B114" s="1" t="s">
        <v>155</v>
      </c>
      <c r="C114" s="1" t="s">
        <v>696</v>
      </c>
      <c r="D114" s="1" t="s">
        <v>697</v>
      </c>
      <c r="E114" s="1" t="s">
        <v>564</v>
      </c>
      <c r="F114" s="1" t="s">
        <v>695</v>
      </c>
      <c r="G114" s="1" t="s">
        <v>61</v>
      </c>
      <c r="H114" s="1" t="s">
        <v>567</v>
      </c>
      <c r="I114" s="1" t="s">
        <v>568</v>
      </c>
      <c r="J114" s="1"/>
    </row>
    <row r="115" spans="1:10" ht="30">
      <c r="A115" s="1" t="s">
        <v>563</v>
      </c>
      <c r="B115" s="1" t="s">
        <v>67</v>
      </c>
      <c r="C115" s="1" t="s">
        <v>693</v>
      </c>
      <c r="D115" s="1" t="s">
        <v>694</v>
      </c>
      <c r="E115" s="1" t="s">
        <v>564</v>
      </c>
      <c r="F115" s="1" t="s">
        <v>695</v>
      </c>
      <c r="G115" s="1" t="s">
        <v>61</v>
      </c>
      <c r="H115" s="1" t="s">
        <v>567</v>
      </c>
      <c r="I115" s="1" t="s">
        <v>568</v>
      </c>
      <c r="J115" s="1"/>
    </row>
    <row r="116" spans="1:10" ht="30">
      <c r="A116" s="1" t="s">
        <v>569</v>
      </c>
      <c r="B116" s="1" t="s">
        <v>155</v>
      </c>
      <c r="C116" s="1" t="s">
        <v>696</v>
      </c>
      <c r="D116" s="1" t="s">
        <v>697</v>
      </c>
      <c r="E116" s="1" t="s">
        <v>570</v>
      </c>
      <c r="F116" s="1" t="s">
        <v>695</v>
      </c>
      <c r="G116" s="1" t="s">
        <v>61</v>
      </c>
      <c r="H116" s="1" t="s">
        <v>573</v>
      </c>
      <c r="I116" s="1" t="s">
        <v>574</v>
      </c>
      <c r="J116" s="1"/>
    </row>
    <row r="117" spans="1:10" ht="30">
      <c r="A117" s="1" t="s">
        <v>569</v>
      </c>
      <c r="B117" s="1" t="s">
        <v>67</v>
      </c>
      <c r="C117" s="1" t="s">
        <v>693</v>
      </c>
      <c r="D117" s="1" t="s">
        <v>694</v>
      </c>
      <c r="E117" s="1" t="s">
        <v>570</v>
      </c>
      <c r="F117" s="1" t="s">
        <v>695</v>
      </c>
      <c r="G117" s="1" t="s">
        <v>61</v>
      </c>
      <c r="H117" s="1" t="s">
        <v>573</v>
      </c>
      <c r="I117" s="1" t="s">
        <v>574</v>
      </c>
      <c r="J117" s="1"/>
    </row>
    <row r="118" spans="1:10" ht="30">
      <c r="A118" s="1" t="s">
        <v>569</v>
      </c>
      <c r="B118" s="1" t="s">
        <v>91</v>
      </c>
      <c r="C118" s="1" t="s">
        <v>698</v>
      </c>
      <c r="D118" s="1" t="s">
        <v>699</v>
      </c>
      <c r="E118" s="1" t="s">
        <v>570</v>
      </c>
      <c r="F118" s="1" t="s">
        <v>695</v>
      </c>
      <c r="G118" s="1" t="s">
        <v>61</v>
      </c>
      <c r="H118" s="1" t="s">
        <v>573</v>
      </c>
      <c r="I118" s="1" t="s">
        <v>574</v>
      </c>
      <c r="J118" s="1"/>
    </row>
    <row r="119" spans="1:10" ht="30">
      <c r="A119" s="1" t="s">
        <v>569</v>
      </c>
      <c r="B119" s="1" t="s">
        <v>139</v>
      </c>
      <c r="C119" s="1" t="s">
        <v>698</v>
      </c>
      <c r="D119" s="1" t="s">
        <v>700</v>
      </c>
      <c r="E119" s="1" t="s">
        <v>570</v>
      </c>
      <c r="F119" s="1" t="s">
        <v>695</v>
      </c>
      <c r="G119" s="1" t="s">
        <v>61</v>
      </c>
      <c r="H119" s="1" t="s">
        <v>573</v>
      </c>
      <c r="I119" s="1" t="s">
        <v>574</v>
      </c>
      <c r="J119" s="1"/>
    </row>
    <row r="120" spans="1:10" ht="30">
      <c r="A120" s="1" t="s">
        <v>575</v>
      </c>
      <c r="B120" s="1" t="s">
        <v>155</v>
      </c>
      <c r="C120" s="1" t="s">
        <v>696</v>
      </c>
      <c r="D120" s="1" t="s">
        <v>697</v>
      </c>
      <c r="E120" s="1" t="s">
        <v>576</v>
      </c>
      <c r="F120" s="1" t="s">
        <v>695</v>
      </c>
      <c r="G120" s="1" t="s">
        <v>61</v>
      </c>
      <c r="H120" s="1" t="s">
        <v>579</v>
      </c>
      <c r="I120" s="1" t="s">
        <v>580</v>
      </c>
      <c r="J120" s="1"/>
    </row>
    <row r="121" spans="1:10" ht="30">
      <c r="A121" s="1" t="s">
        <v>581</v>
      </c>
      <c r="B121" s="1" t="s">
        <v>67</v>
      </c>
      <c r="C121" s="1" t="s">
        <v>693</v>
      </c>
      <c r="D121" s="1" t="s">
        <v>694</v>
      </c>
      <c r="E121" s="1" t="s">
        <v>576</v>
      </c>
      <c r="F121" s="1" t="s">
        <v>695</v>
      </c>
      <c r="G121" s="1" t="s">
        <v>61</v>
      </c>
      <c r="H121" s="1" t="s">
        <v>582</v>
      </c>
      <c r="I121" s="1" t="s">
        <v>580</v>
      </c>
      <c r="J121" s="1"/>
    </row>
    <row r="122" spans="1:10" ht="30">
      <c r="A122" s="1" t="s">
        <v>583</v>
      </c>
      <c r="B122" s="1" t="s">
        <v>155</v>
      </c>
      <c r="C122" s="1" t="s">
        <v>696</v>
      </c>
      <c r="D122" s="1" t="s">
        <v>697</v>
      </c>
      <c r="E122" s="1" t="s">
        <v>584</v>
      </c>
      <c r="F122" s="1" t="s">
        <v>695</v>
      </c>
      <c r="G122" s="1" t="s">
        <v>61</v>
      </c>
      <c r="H122" s="1" t="s">
        <v>587</v>
      </c>
      <c r="I122" s="1" t="s">
        <v>588</v>
      </c>
      <c r="J122" s="1"/>
    </row>
    <row r="123" spans="1:10" ht="30">
      <c r="A123" s="1" t="s">
        <v>583</v>
      </c>
      <c r="B123" s="1" t="s">
        <v>67</v>
      </c>
      <c r="C123" s="1" t="s">
        <v>693</v>
      </c>
      <c r="D123" s="1" t="s">
        <v>694</v>
      </c>
      <c r="E123" s="1" t="s">
        <v>584</v>
      </c>
      <c r="F123" s="1" t="s">
        <v>695</v>
      </c>
      <c r="G123" s="1" t="s">
        <v>61</v>
      </c>
      <c r="H123" s="1" t="s">
        <v>587</v>
      </c>
      <c r="I123" s="1" t="s">
        <v>588</v>
      </c>
      <c r="J123" s="1"/>
    </row>
    <row r="124" spans="1:10" ht="30">
      <c r="A124" s="1" t="s">
        <v>583</v>
      </c>
      <c r="B124" s="1" t="s">
        <v>91</v>
      </c>
      <c r="C124" s="1" t="s">
        <v>698</v>
      </c>
      <c r="D124" s="1" t="s">
        <v>699</v>
      </c>
      <c r="E124" s="1" t="s">
        <v>584</v>
      </c>
      <c r="F124" s="1" t="s">
        <v>695</v>
      </c>
      <c r="G124" s="1" t="s">
        <v>61</v>
      </c>
      <c r="H124" s="1" t="s">
        <v>587</v>
      </c>
      <c r="I124" s="1" t="s">
        <v>588</v>
      </c>
      <c r="J124" s="1"/>
    </row>
    <row r="125" spans="1:10" ht="30">
      <c r="A125" s="1" t="s">
        <v>583</v>
      </c>
      <c r="B125" s="1" t="s">
        <v>139</v>
      </c>
      <c r="C125" s="1" t="s">
        <v>698</v>
      </c>
      <c r="D125" s="1" t="s">
        <v>700</v>
      </c>
      <c r="E125" s="1" t="s">
        <v>584</v>
      </c>
      <c r="F125" s="1" t="s">
        <v>695</v>
      </c>
      <c r="G125" s="1" t="s">
        <v>61</v>
      </c>
      <c r="H125" s="1" t="s">
        <v>587</v>
      </c>
      <c r="I125" s="1" t="s">
        <v>588</v>
      </c>
      <c r="J125" s="1"/>
    </row>
    <row r="126" spans="1:10" ht="30">
      <c r="A126" s="1" t="s">
        <v>589</v>
      </c>
      <c r="B126" s="1" t="s">
        <v>67</v>
      </c>
      <c r="C126" s="1" t="s">
        <v>693</v>
      </c>
      <c r="D126" s="1" t="s">
        <v>694</v>
      </c>
      <c r="E126" s="1" t="s">
        <v>590</v>
      </c>
      <c r="F126" s="1" t="s">
        <v>695</v>
      </c>
      <c r="G126" s="1" t="s">
        <v>61</v>
      </c>
      <c r="H126" s="1" t="s">
        <v>593</v>
      </c>
      <c r="I126" s="1" t="s">
        <v>594</v>
      </c>
      <c r="J126" s="1"/>
    </row>
    <row r="127" spans="1:10" ht="30">
      <c r="A127" s="1" t="s">
        <v>595</v>
      </c>
      <c r="B127" s="1" t="s">
        <v>67</v>
      </c>
      <c r="C127" s="1" t="s">
        <v>693</v>
      </c>
      <c r="D127" s="1" t="s">
        <v>694</v>
      </c>
      <c r="E127" s="1" t="s">
        <v>596</v>
      </c>
      <c r="F127" s="1" t="s">
        <v>695</v>
      </c>
      <c r="G127" s="1" t="s">
        <v>61</v>
      </c>
      <c r="H127" s="1" t="s">
        <v>599</v>
      </c>
      <c r="I127" s="1" t="s">
        <v>600</v>
      </c>
      <c r="J127" s="1"/>
    </row>
    <row r="128" spans="1:10" ht="30">
      <c r="A128" s="1" t="s">
        <v>601</v>
      </c>
      <c r="B128" s="1" t="s">
        <v>155</v>
      </c>
      <c r="C128" s="1" t="s">
        <v>696</v>
      </c>
      <c r="D128" s="1" t="s">
        <v>697</v>
      </c>
      <c r="E128" s="1" t="s">
        <v>602</v>
      </c>
      <c r="F128" s="1" t="s">
        <v>695</v>
      </c>
      <c r="G128" s="1" t="s">
        <v>61</v>
      </c>
      <c r="H128" s="1" t="s">
        <v>605</v>
      </c>
      <c r="I128" s="1" t="s">
        <v>606</v>
      </c>
      <c r="J128" s="1"/>
    </row>
    <row r="129" spans="1:10" ht="30">
      <c r="A129" s="1" t="s">
        <v>607</v>
      </c>
      <c r="B129" s="1" t="s">
        <v>67</v>
      </c>
      <c r="C129" s="1" t="s">
        <v>693</v>
      </c>
      <c r="D129" s="1" t="s">
        <v>694</v>
      </c>
      <c r="E129" s="1" t="s">
        <v>602</v>
      </c>
      <c r="F129" s="1" t="s">
        <v>695</v>
      </c>
      <c r="G129" s="1" t="s">
        <v>61</v>
      </c>
      <c r="H129" s="1" t="s">
        <v>608</v>
      </c>
      <c r="I129" s="1" t="s">
        <v>606</v>
      </c>
      <c r="J129" s="1"/>
    </row>
    <row r="130" spans="1:10" ht="30">
      <c r="A130" s="1" t="s">
        <v>607</v>
      </c>
      <c r="B130" s="1" t="s">
        <v>139</v>
      </c>
      <c r="C130" s="1" t="s">
        <v>698</v>
      </c>
      <c r="D130" s="1" t="s">
        <v>700</v>
      </c>
      <c r="E130" s="1" t="s">
        <v>602</v>
      </c>
      <c r="F130" s="1" t="s">
        <v>695</v>
      </c>
      <c r="G130" s="1" t="s">
        <v>61</v>
      </c>
      <c r="H130" s="1" t="s">
        <v>608</v>
      </c>
      <c r="I130" s="1" t="s">
        <v>606</v>
      </c>
      <c r="J130" s="1"/>
    </row>
    <row r="131" spans="1:10" ht="30">
      <c r="A131" s="1" t="s">
        <v>609</v>
      </c>
      <c r="B131" s="1" t="s">
        <v>67</v>
      </c>
      <c r="C131" s="1" t="s">
        <v>693</v>
      </c>
      <c r="D131" s="1" t="s">
        <v>694</v>
      </c>
      <c r="E131" s="1" t="s">
        <v>610</v>
      </c>
      <c r="F131" s="1" t="s">
        <v>695</v>
      </c>
      <c r="G131" s="1" t="s">
        <v>61</v>
      </c>
      <c r="H131" s="1" t="s">
        <v>613</v>
      </c>
      <c r="I131" s="1" t="s">
        <v>614</v>
      </c>
      <c r="J131" s="1"/>
    </row>
    <row r="132" spans="1:10" ht="30">
      <c r="A132" s="1" t="s">
        <v>615</v>
      </c>
      <c r="B132" s="1" t="s">
        <v>91</v>
      </c>
      <c r="C132" s="1" t="s">
        <v>698</v>
      </c>
      <c r="D132" s="1" t="s">
        <v>699</v>
      </c>
      <c r="E132" s="1" t="s">
        <v>610</v>
      </c>
      <c r="F132" s="1" t="s">
        <v>695</v>
      </c>
      <c r="G132" s="1" t="s">
        <v>61</v>
      </c>
      <c r="H132" s="1" t="s">
        <v>616</v>
      </c>
      <c r="I132" s="1" t="s">
        <v>614</v>
      </c>
      <c r="J132" s="1"/>
    </row>
    <row r="133" spans="1:10" ht="30">
      <c r="A133" s="1" t="s">
        <v>615</v>
      </c>
      <c r="B133" s="1" t="s">
        <v>139</v>
      </c>
      <c r="C133" s="1" t="s">
        <v>698</v>
      </c>
      <c r="D133" s="1" t="s">
        <v>700</v>
      </c>
      <c r="E133" s="1" t="s">
        <v>610</v>
      </c>
      <c r="F133" s="1" t="s">
        <v>695</v>
      </c>
      <c r="G133" s="1" t="s">
        <v>61</v>
      </c>
      <c r="H133" s="1" t="s">
        <v>616</v>
      </c>
      <c r="I133" s="1" t="s">
        <v>614</v>
      </c>
      <c r="J133" s="1"/>
    </row>
    <row r="134" spans="1:10" ht="30">
      <c r="A134" s="1" t="s">
        <v>617</v>
      </c>
      <c r="B134" s="1" t="s">
        <v>155</v>
      </c>
      <c r="C134" s="1" t="s">
        <v>696</v>
      </c>
      <c r="D134" s="1" t="s">
        <v>697</v>
      </c>
      <c r="E134" s="1" t="s">
        <v>610</v>
      </c>
      <c r="F134" s="1" t="s">
        <v>695</v>
      </c>
      <c r="G134" s="1" t="s">
        <v>61</v>
      </c>
      <c r="H134" s="1" t="s">
        <v>618</v>
      </c>
      <c r="I134" s="1" t="s">
        <v>614</v>
      </c>
      <c r="J134" s="1"/>
    </row>
    <row r="135" spans="1:10" ht="30">
      <c r="A135" s="1" t="s">
        <v>619</v>
      </c>
      <c r="B135" s="1" t="s">
        <v>139</v>
      </c>
      <c r="C135" s="1" t="s">
        <v>698</v>
      </c>
      <c r="D135" s="1" t="s">
        <v>700</v>
      </c>
      <c r="E135" s="1" t="s">
        <v>620</v>
      </c>
      <c r="F135" s="1" t="s">
        <v>695</v>
      </c>
      <c r="G135" s="1" t="s">
        <v>61</v>
      </c>
      <c r="H135" s="1" t="s">
        <v>623</v>
      </c>
      <c r="I135" s="1" t="s">
        <v>624</v>
      </c>
      <c r="J135" s="1"/>
    </row>
    <row r="136" spans="1:10" ht="30">
      <c r="A136" s="1" t="s">
        <v>625</v>
      </c>
      <c r="B136" s="1" t="s">
        <v>67</v>
      </c>
      <c r="C136" s="1" t="s">
        <v>693</v>
      </c>
      <c r="D136" s="1" t="s">
        <v>694</v>
      </c>
      <c r="E136" s="1" t="s">
        <v>620</v>
      </c>
      <c r="F136" s="1" t="s">
        <v>695</v>
      </c>
      <c r="G136" s="1" t="s">
        <v>61</v>
      </c>
      <c r="H136" s="1" t="s">
        <v>626</v>
      </c>
      <c r="I136" s="1" t="s">
        <v>624</v>
      </c>
      <c r="J136" s="1"/>
    </row>
    <row r="137" spans="1:10" ht="30">
      <c r="A137" s="1" t="s">
        <v>627</v>
      </c>
      <c r="B137" s="1" t="s">
        <v>155</v>
      </c>
      <c r="C137" s="1" t="s">
        <v>696</v>
      </c>
      <c r="D137" s="1" t="s">
        <v>697</v>
      </c>
      <c r="E137" s="1" t="s">
        <v>620</v>
      </c>
      <c r="F137" s="1" t="s">
        <v>695</v>
      </c>
      <c r="G137" s="1" t="s">
        <v>61</v>
      </c>
      <c r="H137" s="1" t="s">
        <v>628</v>
      </c>
      <c r="I137" s="1" t="s">
        <v>624</v>
      </c>
      <c r="J137" s="1"/>
    </row>
    <row r="138" spans="1:10" ht="30">
      <c r="A138" s="1" t="s">
        <v>629</v>
      </c>
      <c r="B138" s="1" t="s">
        <v>91</v>
      </c>
      <c r="C138" s="1" t="s">
        <v>698</v>
      </c>
      <c r="D138" s="1" t="s">
        <v>699</v>
      </c>
      <c r="E138" s="1" t="s">
        <v>620</v>
      </c>
      <c r="F138" s="1" t="s">
        <v>695</v>
      </c>
      <c r="G138" s="1" t="s">
        <v>61</v>
      </c>
      <c r="H138" s="1" t="s">
        <v>630</v>
      </c>
      <c r="I138" s="1" t="s">
        <v>624</v>
      </c>
      <c r="J138" s="1"/>
    </row>
    <row r="139" spans="1:10" ht="30">
      <c r="A139" s="1" t="s">
        <v>631</v>
      </c>
      <c r="B139" s="1" t="s">
        <v>91</v>
      </c>
      <c r="C139" s="1" t="s">
        <v>698</v>
      </c>
      <c r="D139" s="1" t="s">
        <v>699</v>
      </c>
      <c r="E139" s="1" t="s">
        <v>632</v>
      </c>
      <c r="F139" s="1" t="s">
        <v>695</v>
      </c>
      <c r="G139" s="1" t="s">
        <v>61</v>
      </c>
      <c r="H139" s="1" t="s">
        <v>635</v>
      </c>
      <c r="I139" s="1" t="s">
        <v>636</v>
      </c>
      <c r="J139" s="1"/>
    </row>
    <row r="140" spans="1:10" ht="30">
      <c r="A140" s="1" t="s">
        <v>637</v>
      </c>
      <c r="B140" s="1" t="s">
        <v>91</v>
      </c>
      <c r="C140" s="1" t="s">
        <v>698</v>
      </c>
      <c r="D140" s="1" t="s">
        <v>699</v>
      </c>
      <c r="E140" s="1" t="s">
        <v>638</v>
      </c>
      <c r="F140" s="1" t="s">
        <v>695</v>
      </c>
      <c r="G140" s="1" t="s">
        <v>61</v>
      </c>
      <c r="H140" s="1" t="s">
        <v>641</v>
      </c>
      <c r="I140" s="1" t="s">
        <v>642</v>
      </c>
      <c r="J140" s="1"/>
    </row>
    <row r="141" spans="1:10" ht="30">
      <c r="A141" s="1" t="s">
        <v>643</v>
      </c>
      <c r="B141" s="1" t="s">
        <v>155</v>
      </c>
      <c r="C141" s="1" t="s">
        <v>696</v>
      </c>
      <c r="D141" s="1" t="s">
        <v>697</v>
      </c>
      <c r="E141" s="1" t="s">
        <v>644</v>
      </c>
      <c r="F141" s="1" t="s">
        <v>695</v>
      </c>
      <c r="G141" s="1" t="s">
        <v>61</v>
      </c>
      <c r="H141" s="1" t="s">
        <v>647</v>
      </c>
      <c r="I141" s="1" t="s">
        <v>648</v>
      </c>
      <c r="J141" s="1"/>
    </row>
    <row r="142" spans="1:10" ht="30">
      <c r="A142" s="1" t="s">
        <v>643</v>
      </c>
      <c r="B142" s="1" t="s">
        <v>67</v>
      </c>
      <c r="C142" s="1" t="s">
        <v>693</v>
      </c>
      <c r="D142" s="1" t="s">
        <v>694</v>
      </c>
      <c r="E142" s="1" t="s">
        <v>644</v>
      </c>
      <c r="F142" s="1" t="s">
        <v>695</v>
      </c>
      <c r="G142" s="1" t="s">
        <v>61</v>
      </c>
      <c r="H142" s="1" t="s">
        <v>647</v>
      </c>
      <c r="I142" s="1" t="s">
        <v>648</v>
      </c>
      <c r="J142" s="1"/>
    </row>
    <row r="143" spans="1:10" ht="30">
      <c r="A143" s="1" t="s">
        <v>649</v>
      </c>
      <c r="B143" s="1" t="s">
        <v>139</v>
      </c>
      <c r="C143" s="1" t="s">
        <v>698</v>
      </c>
      <c r="D143" s="1" t="s">
        <v>700</v>
      </c>
      <c r="E143" s="1" t="s">
        <v>650</v>
      </c>
      <c r="F143" s="1" t="s">
        <v>695</v>
      </c>
      <c r="G143" s="1" t="s">
        <v>61</v>
      </c>
      <c r="H143" s="1" t="s">
        <v>653</v>
      </c>
      <c r="I143" s="1" t="s">
        <v>654</v>
      </c>
      <c r="J143" s="1"/>
    </row>
    <row r="144" spans="1:10" ht="30">
      <c r="A144" s="1" t="s">
        <v>655</v>
      </c>
      <c r="B144" s="1" t="s">
        <v>67</v>
      </c>
      <c r="C144" s="1" t="s">
        <v>693</v>
      </c>
      <c r="D144" s="1" t="s">
        <v>694</v>
      </c>
      <c r="E144" s="1" t="s">
        <v>656</v>
      </c>
      <c r="F144" s="1" t="s">
        <v>695</v>
      </c>
      <c r="G144" s="1" t="s">
        <v>61</v>
      </c>
      <c r="H144" s="1" t="s">
        <v>659</v>
      </c>
      <c r="I144" s="1" t="s">
        <v>660</v>
      </c>
      <c r="J144" s="1"/>
    </row>
    <row r="145" spans="1:10" ht="30">
      <c r="A145" s="1" t="s">
        <v>655</v>
      </c>
      <c r="B145" s="1" t="s">
        <v>139</v>
      </c>
      <c r="C145" s="1" t="s">
        <v>698</v>
      </c>
      <c r="D145" s="1" t="s">
        <v>700</v>
      </c>
      <c r="E145" s="1" t="s">
        <v>656</v>
      </c>
      <c r="F145" s="1" t="s">
        <v>695</v>
      </c>
      <c r="G145" s="1" t="s">
        <v>61</v>
      </c>
      <c r="H145" s="1" t="s">
        <v>659</v>
      </c>
      <c r="I145" s="1" t="s">
        <v>660</v>
      </c>
      <c r="J145" s="1"/>
    </row>
    <row r="146" spans="1:10" ht="30">
      <c r="A146" s="1" t="s">
        <v>661</v>
      </c>
      <c r="B146" s="1" t="s">
        <v>67</v>
      </c>
      <c r="C146" s="1" t="s">
        <v>693</v>
      </c>
      <c r="D146" s="1" t="s">
        <v>694</v>
      </c>
      <c r="E146" s="1" t="s">
        <v>662</v>
      </c>
      <c r="F146" s="1" t="s">
        <v>695</v>
      </c>
      <c r="G146" s="1" t="s">
        <v>61</v>
      </c>
      <c r="H146" s="1" t="s">
        <v>665</v>
      </c>
      <c r="I146" s="1" t="s">
        <v>666</v>
      </c>
      <c r="J146" s="1"/>
    </row>
    <row r="147" spans="1:10" ht="30">
      <c r="A147" s="1" t="s">
        <v>667</v>
      </c>
      <c r="B147" s="1" t="s">
        <v>155</v>
      </c>
      <c r="C147" s="1" t="s">
        <v>696</v>
      </c>
      <c r="D147" s="1" t="s">
        <v>697</v>
      </c>
      <c r="E147" s="1" t="s">
        <v>662</v>
      </c>
      <c r="F147" s="1" t="s">
        <v>695</v>
      </c>
      <c r="G147" s="1" t="s">
        <v>61</v>
      </c>
      <c r="H147" s="1" t="s">
        <v>668</v>
      </c>
      <c r="I147" s="1" t="s">
        <v>666</v>
      </c>
      <c r="J147" s="1"/>
    </row>
    <row r="148" spans="1:10" ht="30">
      <c r="A148" s="1" t="s">
        <v>669</v>
      </c>
      <c r="B148" s="1" t="s">
        <v>91</v>
      </c>
      <c r="C148" s="1" t="s">
        <v>698</v>
      </c>
      <c r="D148" s="1" t="s">
        <v>699</v>
      </c>
      <c r="E148" s="1" t="s">
        <v>670</v>
      </c>
      <c r="F148" s="1" t="s">
        <v>695</v>
      </c>
      <c r="G148" s="1" t="s">
        <v>61</v>
      </c>
      <c r="H148" s="1" t="s">
        <v>673</v>
      </c>
      <c r="I148" s="1" t="s">
        <v>674</v>
      </c>
      <c r="J148" s="1"/>
    </row>
    <row r="149" spans="1:10" ht="30">
      <c r="A149" s="1" t="s">
        <v>675</v>
      </c>
      <c r="B149" s="1" t="s">
        <v>155</v>
      </c>
      <c r="C149" s="1" t="s">
        <v>696</v>
      </c>
      <c r="D149" s="1" t="s">
        <v>697</v>
      </c>
      <c r="E149" s="1" t="s">
        <v>676</v>
      </c>
      <c r="F149" s="1" t="s">
        <v>695</v>
      </c>
      <c r="G149" s="1" t="s">
        <v>61</v>
      </c>
      <c r="H149" s="1" t="s">
        <v>679</v>
      </c>
      <c r="I149" s="1" t="s">
        <v>680</v>
      </c>
      <c r="J149" s="1"/>
    </row>
    <row r="150" spans="1:10" ht="30">
      <c r="A150" s="1" t="s">
        <v>675</v>
      </c>
      <c r="B150" s="1" t="s">
        <v>139</v>
      </c>
      <c r="C150" s="1" t="s">
        <v>698</v>
      </c>
      <c r="D150" s="1" t="s">
        <v>700</v>
      </c>
      <c r="E150" s="1" t="s">
        <v>676</v>
      </c>
      <c r="F150" s="1" t="s">
        <v>695</v>
      </c>
      <c r="G150" s="1" t="s">
        <v>61</v>
      </c>
      <c r="H150" s="1" t="s">
        <v>679</v>
      </c>
      <c r="I150" s="1" t="s">
        <v>680</v>
      </c>
      <c r="J150" s="1"/>
    </row>
    <row r="151" spans="1:10" ht="30">
      <c r="A151" s="1" t="s">
        <v>681</v>
      </c>
      <c r="B151" s="1" t="s">
        <v>67</v>
      </c>
      <c r="C151" s="1" t="s">
        <v>693</v>
      </c>
      <c r="D151" s="1" t="s">
        <v>694</v>
      </c>
      <c r="E151" s="1" t="s">
        <v>682</v>
      </c>
      <c r="F151" s="1" t="s">
        <v>695</v>
      </c>
      <c r="G151" s="1" t="s">
        <v>61</v>
      </c>
      <c r="H151" s="1" t="s">
        <v>685</v>
      </c>
      <c r="I151" s="1" t="s">
        <v>686</v>
      </c>
      <c r="J151" s="1"/>
    </row>
    <row r="152" spans="1:10" ht="30">
      <c r="A152" s="1" t="s">
        <v>687</v>
      </c>
      <c r="B152" s="1" t="s">
        <v>155</v>
      </c>
      <c r="C152" s="1" t="s">
        <v>696</v>
      </c>
      <c r="D152" s="1" t="s">
        <v>697</v>
      </c>
      <c r="E152" s="1" t="s">
        <v>682</v>
      </c>
      <c r="F152" s="1" t="s">
        <v>695</v>
      </c>
      <c r="G152" s="1" t="s">
        <v>61</v>
      </c>
      <c r="H152" s="1" t="s">
        <v>688</v>
      </c>
      <c r="I152" s="1" t="s">
        <v>686</v>
      </c>
      <c r="J152"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5"/>
  <sheetViews>
    <sheetView workbookViewId="0"/>
  </sheetViews>
  <sheetFormatPr baseColWidth="10" defaultColWidth="8.83203125" defaultRowHeight="14"/>
  <cols>
    <col min="1" max="1" width="24" customWidth="1"/>
    <col min="2" max="38" width="18" customWidth="1"/>
  </cols>
  <sheetData>
    <row r="1" spans="1:38" ht="48">
      <c r="A1" s="6" t="s">
        <v>689</v>
      </c>
      <c r="B1" s="6" t="s">
        <v>711</v>
      </c>
      <c r="C1" s="6" t="s">
        <v>712</v>
      </c>
      <c r="D1" s="6" t="s">
        <v>713</v>
      </c>
      <c r="E1" s="6" t="s">
        <v>714</v>
      </c>
      <c r="F1" s="6" t="s">
        <v>715</v>
      </c>
      <c r="G1" s="6" t="s">
        <v>716</v>
      </c>
      <c r="H1" s="6" t="s">
        <v>717</v>
      </c>
      <c r="I1" s="6" t="s">
        <v>718</v>
      </c>
      <c r="J1" s="6" t="s">
        <v>719</v>
      </c>
      <c r="K1" s="6" t="s">
        <v>720</v>
      </c>
      <c r="L1" s="6" t="s">
        <v>721</v>
      </c>
      <c r="M1" s="6" t="s">
        <v>722</v>
      </c>
      <c r="N1" s="6" t="s">
        <v>723</v>
      </c>
      <c r="O1" s="6" t="s">
        <v>724</v>
      </c>
      <c r="P1" s="6" t="s">
        <v>725</v>
      </c>
      <c r="Q1" s="6" t="s">
        <v>726</v>
      </c>
      <c r="R1" s="6" t="s">
        <v>727</v>
      </c>
      <c r="S1" s="6" t="s">
        <v>728</v>
      </c>
      <c r="T1" s="6" t="s">
        <v>729</v>
      </c>
      <c r="U1" s="6" t="s">
        <v>730</v>
      </c>
      <c r="V1" s="6" t="s">
        <v>731</v>
      </c>
      <c r="W1" s="6" t="s">
        <v>732</v>
      </c>
      <c r="X1" s="6" t="s">
        <v>733</v>
      </c>
      <c r="Y1" s="6" t="s">
        <v>734</v>
      </c>
      <c r="Z1" s="6" t="s">
        <v>735</v>
      </c>
      <c r="AA1" s="6" t="s">
        <v>736</v>
      </c>
      <c r="AB1" s="6" t="s">
        <v>737</v>
      </c>
      <c r="AC1" s="6" t="s">
        <v>738</v>
      </c>
      <c r="AD1" s="6" t="s">
        <v>739</v>
      </c>
      <c r="AE1" s="6" t="s">
        <v>740</v>
      </c>
      <c r="AF1" s="6" t="s">
        <v>741</v>
      </c>
      <c r="AG1" s="6" t="s">
        <v>742</v>
      </c>
      <c r="AH1" s="6" t="s">
        <v>743</v>
      </c>
      <c r="AI1" s="6" t="s">
        <v>744</v>
      </c>
      <c r="AJ1" s="6" t="s">
        <v>745</v>
      </c>
      <c r="AK1" s="6" t="s">
        <v>746</v>
      </c>
      <c r="AL1" s="6" t="s">
        <v>747</v>
      </c>
    </row>
    <row r="2" spans="1:38" ht="30">
      <c r="A2" s="1" t="s">
        <v>155</v>
      </c>
      <c r="B2" s="1" t="s">
        <v>748</v>
      </c>
      <c r="C2" s="1" t="s">
        <v>749</v>
      </c>
      <c r="D2" s="1" t="s">
        <v>750</v>
      </c>
      <c r="E2" s="1" t="s">
        <v>751</v>
      </c>
      <c r="F2" s="1" t="s">
        <v>752</v>
      </c>
      <c r="G2" s="1" t="s">
        <v>753</v>
      </c>
      <c r="H2" s="1" t="s">
        <v>754</v>
      </c>
      <c r="I2" s="1" t="s">
        <v>755</v>
      </c>
      <c r="J2" s="1" t="s">
        <v>756</v>
      </c>
      <c r="K2" s="1" t="s">
        <v>757</v>
      </c>
      <c r="L2" s="1" t="s">
        <v>758</v>
      </c>
      <c r="M2" s="1" t="s">
        <v>759</v>
      </c>
      <c r="N2" s="1" t="s">
        <v>760</v>
      </c>
      <c r="O2" s="1" t="s">
        <v>761</v>
      </c>
      <c r="P2" s="1" t="s">
        <v>762</v>
      </c>
      <c r="Q2" s="1" t="s">
        <v>763</v>
      </c>
      <c r="R2" s="1" t="s">
        <v>764</v>
      </c>
      <c r="S2" s="1" t="s">
        <v>765</v>
      </c>
      <c r="T2" s="1" t="s">
        <v>763</v>
      </c>
      <c r="U2" s="1" t="s">
        <v>766</v>
      </c>
      <c r="V2" s="1" t="s">
        <v>767</v>
      </c>
      <c r="W2" s="1" t="s">
        <v>768</v>
      </c>
      <c r="X2" s="1" t="s">
        <v>769</v>
      </c>
      <c r="Y2" s="1" t="s">
        <v>770</v>
      </c>
      <c r="Z2" s="1" t="s">
        <v>771</v>
      </c>
      <c r="AA2" s="1" t="s">
        <v>772</v>
      </c>
      <c r="AB2" s="1" t="s">
        <v>773</v>
      </c>
      <c r="AC2" s="1" t="s">
        <v>774</v>
      </c>
      <c r="AD2" s="1" t="s">
        <v>775</v>
      </c>
      <c r="AE2" s="1" t="s">
        <v>776</v>
      </c>
      <c r="AF2" s="1" t="s">
        <v>777</v>
      </c>
      <c r="AG2" s="1" t="s">
        <v>778</v>
      </c>
      <c r="AH2" s="1" t="s">
        <v>779</v>
      </c>
      <c r="AI2" s="1" t="s">
        <v>780</v>
      </c>
      <c r="AJ2" s="1" t="s">
        <v>781</v>
      </c>
      <c r="AK2" s="1" t="s">
        <v>782</v>
      </c>
      <c r="AL2" s="1" t="s">
        <v>749</v>
      </c>
    </row>
    <row r="3" spans="1:38" ht="30">
      <c r="A3" s="1" t="s">
        <v>67</v>
      </c>
      <c r="B3" s="1" t="s">
        <v>748</v>
      </c>
      <c r="C3" s="1" t="s">
        <v>749</v>
      </c>
      <c r="D3" s="1" t="s">
        <v>783</v>
      </c>
      <c r="E3" s="1" t="s">
        <v>784</v>
      </c>
      <c r="F3" s="1" t="s">
        <v>785</v>
      </c>
      <c r="G3" s="1" t="s">
        <v>749</v>
      </c>
      <c r="H3" s="1" t="s">
        <v>786</v>
      </c>
      <c r="I3" s="1" t="s">
        <v>787</v>
      </c>
      <c r="J3" s="1" t="s">
        <v>788</v>
      </c>
      <c r="K3" s="1" t="s">
        <v>789</v>
      </c>
      <c r="L3" s="1" t="s">
        <v>790</v>
      </c>
      <c r="M3" s="1" t="s">
        <v>791</v>
      </c>
      <c r="N3" s="1" t="s">
        <v>792</v>
      </c>
      <c r="O3" s="1" t="s">
        <v>793</v>
      </c>
      <c r="P3" s="1" t="s">
        <v>794</v>
      </c>
      <c r="Q3" s="1" t="s">
        <v>795</v>
      </c>
      <c r="R3" s="1" t="s">
        <v>796</v>
      </c>
      <c r="S3" s="1" t="s">
        <v>797</v>
      </c>
      <c r="T3" s="1" t="s">
        <v>795</v>
      </c>
      <c r="U3" s="1" t="s">
        <v>798</v>
      </c>
      <c r="V3" s="1" t="s">
        <v>799</v>
      </c>
      <c r="W3" s="1" t="s">
        <v>800</v>
      </c>
      <c r="X3" s="1" t="s">
        <v>801</v>
      </c>
      <c r="Y3" s="1" t="s">
        <v>802</v>
      </c>
      <c r="Z3" s="1" t="s">
        <v>803</v>
      </c>
      <c r="AA3" s="1" t="s">
        <v>804</v>
      </c>
      <c r="AB3" s="1" t="s">
        <v>805</v>
      </c>
      <c r="AC3" s="1" t="s">
        <v>806</v>
      </c>
      <c r="AD3" s="1" t="s">
        <v>807</v>
      </c>
      <c r="AE3" s="1" t="s">
        <v>808</v>
      </c>
      <c r="AF3" s="1" t="s">
        <v>809</v>
      </c>
      <c r="AG3" s="1" t="s">
        <v>810</v>
      </c>
      <c r="AH3" s="1" t="s">
        <v>811</v>
      </c>
      <c r="AI3" s="1" t="s">
        <v>812</v>
      </c>
      <c r="AJ3" s="1" t="s">
        <v>813</v>
      </c>
      <c r="AK3" s="1" t="s">
        <v>814</v>
      </c>
      <c r="AL3" s="1" t="s">
        <v>749</v>
      </c>
    </row>
    <row r="4" spans="1:38" ht="30">
      <c r="A4" s="1" t="s">
        <v>91</v>
      </c>
      <c r="B4" s="1" t="s">
        <v>748</v>
      </c>
      <c r="C4" s="1" t="s">
        <v>749</v>
      </c>
      <c r="D4" s="1" t="s">
        <v>815</v>
      </c>
      <c r="E4" s="1" t="s">
        <v>816</v>
      </c>
      <c r="F4" s="1" t="s">
        <v>817</v>
      </c>
      <c r="G4" s="1" t="s">
        <v>818</v>
      </c>
      <c r="H4" s="1" t="s">
        <v>819</v>
      </c>
      <c r="I4" s="1" t="s">
        <v>820</v>
      </c>
      <c r="J4" s="1" t="s">
        <v>821</v>
      </c>
      <c r="K4" s="1" t="s">
        <v>822</v>
      </c>
      <c r="L4" s="1" t="s">
        <v>823</v>
      </c>
      <c r="M4" s="1" t="s">
        <v>824</v>
      </c>
      <c r="N4" s="1" t="s">
        <v>825</v>
      </c>
      <c r="O4" s="1" t="s">
        <v>792</v>
      </c>
      <c r="P4" s="1" t="s">
        <v>826</v>
      </c>
      <c r="Q4" s="1" t="s">
        <v>827</v>
      </c>
      <c r="R4" s="1" t="s">
        <v>795</v>
      </c>
      <c r="S4" s="1" t="s">
        <v>828</v>
      </c>
      <c r="T4" s="1" t="s">
        <v>827</v>
      </c>
      <c r="U4" s="1" t="s">
        <v>795</v>
      </c>
      <c r="V4" s="1" t="s">
        <v>829</v>
      </c>
      <c r="W4" s="1" t="s">
        <v>830</v>
      </c>
      <c r="X4" s="1" t="s">
        <v>831</v>
      </c>
      <c r="Y4" s="1" t="s">
        <v>832</v>
      </c>
      <c r="Z4" s="1" t="s">
        <v>833</v>
      </c>
      <c r="AA4" s="1" t="s">
        <v>834</v>
      </c>
      <c r="AB4" s="1" t="s">
        <v>835</v>
      </c>
      <c r="AC4" s="1" t="s">
        <v>836</v>
      </c>
      <c r="AD4" s="1" t="s">
        <v>812</v>
      </c>
      <c r="AE4" s="1" t="s">
        <v>812</v>
      </c>
      <c r="AF4" s="1" t="s">
        <v>837</v>
      </c>
      <c r="AG4" s="1" t="s">
        <v>838</v>
      </c>
      <c r="AH4" s="1" t="s">
        <v>839</v>
      </c>
      <c r="AI4" s="1" t="s">
        <v>812</v>
      </c>
      <c r="AJ4" s="1" t="s">
        <v>840</v>
      </c>
      <c r="AK4" s="1" t="s">
        <v>841</v>
      </c>
      <c r="AL4" s="1" t="s">
        <v>749</v>
      </c>
    </row>
    <row r="5" spans="1:38" ht="30">
      <c r="A5" s="1" t="s">
        <v>139</v>
      </c>
      <c r="B5" s="1" t="s">
        <v>748</v>
      </c>
      <c r="C5" s="1" t="s">
        <v>842</v>
      </c>
      <c r="D5" s="1" t="s">
        <v>843</v>
      </c>
      <c r="E5" s="1" t="s">
        <v>844</v>
      </c>
      <c r="F5" s="1" t="s">
        <v>845</v>
      </c>
      <c r="G5" s="1" t="s">
        <v>749</v>
      </c>
      <c r="H5" s="1" t="s">
        <v>819</v>
      </c>
      <c r="I5" s="1" t="s">
        <v>846</v>
      </c>
      <c r="J5" s="1" t="s">
        <v>847</v>
      </c>
      <c r="K5" s="1" t="s">
        <v>848</v>
      </c>
      <c r="L5" s="1" t="s">
        <v>849</v>
      </c>
      <c r="M5" s="1" t="s">
        <v>850</v>
      </c>
      <c r="N5" s="1" t="s">
        <v>825</v>
      </c>
      <c r="O5" s="1" t="s">
        <v>851</v>
      </c>
      <c r="P5" s="1" t="s">
        <v>852</v>
      </c>
      <c r="Q5" s="1" t="s">
        <v>827</v>
      </c>
      <c r="R5" s="1" t="s">
        <v>853</v>
      </c>
      <c r="S5" s="1" t="s">
        <v>854</v>
      </c>
      <c r="T5" s="1" t="s">
        <v>827</v>
      </c>
      <c r="U5" s="1" t="s">
        <v>843</v>
      </c>
      <c r="V5" s="1" t="s">
        <v>855</v>
      </c>
      <c r="W5" s="1" t="s">
        <v>856</v>
      </c>
      <c r="X5" s="1" t="s">
        <v>857</v>
      </c>
      <c r="Y5" s="1" t="s">
        <v>858</v>
      </c>
      <c r="Z5" s="1" t="s">
        <v>859</v>
      </c>
      <c r="AA5" s="1" t="s">
        <v>860</v>
      </c>
      <c r="AB5" s="1" t="s">
        <v>861</v>
      </c>
      <c r="AC5" s="1" t="s">
        <v>862</v>
      </c>
      <c r="AD5" s="1" t="s">
        <v>812</v>
      </c>
      <c r="AE5" s="1" t="s">
        <v>812</v>
      </c>
      <c r="AF5" s="1" t="s">
        <v>863</v>
      </c>
      <c r="AG5" s="1" t="s">
        <v>864</v>
      </c>
      <c r="AH5" s="1" t="s">
        <v>865</v>
      </c>
      <c r="AI5" s="1" t="s">
        <v>812</v>
      </c>
      <c r="AJ5" s="1" t="s">
        <v>866</v>
      </c>
      <c r="AK5" s="1" t="s">
        <v>867</v>
      </c>
      <c r="AL5" s="1" t="s">
        <v>868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Review Guide</vt:lpstr>
      <vt:lpstr>Review Queue</vt:lpstr>
      <vt:lpstr>Mapping</vt:lpstr>
      <vt:lpstr>Starting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caelain stocker</cp:lastModifiedBy>
  <dcterms:created xsi:type="dcterms:W3CDTF">2026-07-21T18:03:44Z</dcterms:created>
  <dcterms:modified xsi:type="dcterms:W3CDTF">2026-07-21T18:03:44Z</dcterms:modified>
</cp:coreProperties>
</file>